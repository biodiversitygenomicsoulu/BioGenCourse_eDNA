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oulu-my.sharepoint.com/personal/pnichols25_univ_yo_oulu_fi/Documents/Documents/Oulu Documents/Research/Course Methods/"/>
    </mc:Choice>
  </mc:AlternateContent>
  <xr:revisionPtr revIDLastSave="1" documentId="13_ncr:1_{3F13B591-DCF7-4116-A08D-6C7D9C1B5449}" xr6:coauthVersionLast="47" xr6:coauthVersionMax="47" xr10:uidLastSave="{988E9C86-A829-4544-884F-0A7873900DC8}"/>
  <bookViews>
    <workbookView xWindow="-96" yWindow="-96" windowWidth="23232" windowHeight="13872" xr2:uid="{42FCCDA6-5F7E-4ED9-BE76-77B4827DC699}"/>
  </bookViews>
  <sheets>
    <sheet name="meta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0" i="1" l="1"/>
  <c r="J117" i="1"/>
  <c r="J237" i="1"/>
  <c r="J9" i="1"/>
  <c r="J14" i="1"/>
  <c r="J10" i="1"/>
  <c r="J15" i="1"/>
  <c r="J2" i="1"/>
  <c r="J12" i="1"/>
  <c r="J13" i="1"/>
  <c r="J7" i="1"/>
  <c r="J19" i="1"/>
  <c r="J6" i="1"/>
  <c r="J18" i="1"/>
  <c r="J116" i="1"/>
  <c r="J236" i="1"/>
  <c r="J4" i="1"/>
  <c r="J16" i="1"/>
  <c r="J5" i="1"/>
  <c r="J17" i="1"/>
  <c r="J139" i="1"/>
  <c r="J142" i="1"/>
  <c r="J140" i="1"/>
  <c r="J143" i="1"/>
  <c r="J138" i="1"/>
  <c r="J141" i="1"/>
  <c r="J3" i="1"/>
  <c r="J21" i="1"/>
  <c r="J90" i="1"/>
  <c r="J210" i="1"/>
  <c r="J91" i="1"/>
  <c r="J211" i="1"/>
  <c r="J78" i="1"/>
  <c r="J198" i="1"/>
  <c r="J79" i="1"/>
  <c r="J199" i="1"/>
  <c r="J92" i="1"/>
  <c r="J212" i="1"/>
  <c r="J93" i="1"/>
  <c r="J213" i="1"/>
  <c r="J80" i="1"/>
  <c r="J200" i="1"/>
  <c r="J81" i="1"/>
  <c r="J201" i="1"/>
  <c r="J94" i="1"/>
  <c r="J214" i="1"/>
  <c r="J95" i="1"/>
  <c r="J215" i="1"/>
  <c r="J82" i="1"/>
  <c r="J202" i="1"/>
  <c r="J83" i="1"/>
  <c r="J203" i="1"/>
  <c r="J96" i="1"/>
  <c r="J216" i="1"/>
  <c r="J97" i="1"/>
  <c r="J217" i="1"/>
  <c r="J84" i="1"/>
  <c r="J204" i="1"/>
  <c r="J85" i="1"/>
  <c r="J205" i="1"/>
  <c r="J98" i="1"/>
  <c r="J218" i="1"/>
  <c r="J99" i="1"/>
  <c r="J219" i="1"/>
  <c r="J86" i="1"/>
  <c r="J206" i="1"/>
  <c r="J87" i="1"/>
  <c r="J207" i="1"/>
  <c r="J100" i="1"/>
  <c r="J220" i="1"/>
  <c r="J101" i="1"/>
  <c r="J221" i="1"/>
  <c r="J88" i="1"/>
  <c r="J208" i="1"/>
  <c r="J89" i="1"/>
  <c r="J209" i="1"/>
  <c r="J102" i="1"/>
  <c r="J222" i="1"/>
  <c r="J103" i="1"/>
  <c r="J223" i="1"/>
  <c r="J36" i="1"/>
  <c r="J64" i="1"/>
  <c r="J144" i="1"/>
  <c r="J171" i="1"/>
  <c r="J37" i="1"/>
  <c r="J65" i="1"/>
  <c r="J145" i="1"/>
  <c r="J172" i="1"/>
  <c r="J40" i="1"/>
  <c r="J68" i="1"/>
  <c r="J148" i="1"/>
  <c r="J175" i="1"/>
  <c r="J43" i="1"/>
  <c r="J71" i="1"/>
  <c r="J155" i="1"/>
  <c r="J182" i="1"/>
  <c r="J44" i="1"/>
  <c r="J72" i="1"/>
  <c r="J156" i="1"/>
  <c r="J183" i="1"/>
  <c r="J31" i="1"/>
  <c r="J59" i="1"/>
  <c r="J158" i="1"/>
  <c r="J185" i="1"/>
  <c r="J32" i="1"/>
  <c r="J60" i="1"/>
  <c r="J159" i="1"/>
  <c r="J186" i="1"/>
  <c r="J35" i="1"/>
  <c r="J63" i="1"/>
  <c r="J28" i="1"/>
  <c r="J56" i="1"/>
  <c r="J151" i="1"/>
  <c r="J178" i="1"/>
  <c r="J29" i="1"/>
  <c r="J57" i="1"/>
  <c r="J152" i="1"/>
  <c r="J179" i="1"/>
  <c r="J26" i="1"/>
  <c r="J54" i="1"/>
  <c r="J149" i="1"/>
  <c r="J176" i="1"/>
  <c r="J27" i="1"/>
  <c r="J55" i="1"/>
  <c r="J150" i="1"/>
  <c r="J177" i="1"/>
  <c r="J170" i="1"/>
  <c r="J197" i="1"/>
  <c r="J104" i="1"/>
  <c r="J224" i="1"/>
  <c r="J105" i="1"/>
  <c r="J225" i="1"/>
  <c r="J129" i="1"/>
  <c r="J249" i="1"/>
  <c r="J134" i="1"/>
  <c r="J254" i="1"/>
  <c r="J24" i="1"/>
  <c r="J51" i="1"/>
  <c r="J164" i="1"/>
  <c r="J191" i="1"/>
  <c r="J25" i="1"/>
  <c r="J52" i="1"/>
  <c r="J165" i="1"/>
  <c r="J192" i="1"/>
  <c r="J120" i="1"/>
  <c r="J240" i="1"/>
  <c r="J130" i="1"/>
  <c r="J250" i="1"/>
  <c r="J136" i="1"/>
  <c r="J256" i="1"/>
  <c r="J106" i="1"/>
  <c r="J226" i="1"/>
  <c r="J107" i="1"/>
  <c r="J227" i="1"/>
  <c r="J118" i="1"/>
  <c r="J238" i="1"/>
  <c r="J128" i="1"/>
  <c r="J248" i="1"/>
  <c r="J137" i="1"/>
  <c r="J257" i="1"/>
  <c r="J34" i="1"/>
  <c r="J62" i="1"/>
  <c r="J161" i="1"/>
  <c r="J188" i="1"/>
  <c r="J46" i="1"/>
  <c r="J74" i="1"/>
  <c r="J166" i="1"/>
  <c r="J193" i="1"/>
  <c r="J75" i="1"/>
  <c r="J167" i="1"/>
  <c r="J194" i="1"/>
  <c r="J133" i="1"/>
  <c r="J253" i="1"/>
  <c r="J131" i="1"/>
  <c r="J251" i="1"/>
  <c r="J124" i="1"/>
  <c r="J244" i="1"/>
  <c r="J23" i="1"/>
  <c r="J49" i="1"/>
  <c r="J162" i="1"/>
  <c r="J189" i="1"/>
  <c r="J50" i="1"/>
  <c r="J163" i="1"/>
  <c r="J190" i="1"/>
  <c r="J132" i="1"/>
  <c r="J252" i="1"/>
  <c r="J47" i="1"/>
  <c r="J76" i="1"/>
  <c r="J168" i="1"/>
  <c r="J195" i="1"/>
  <c r="J48" i="1"/>
  <c r="J77" i="1"/>
  <c r="J169" i="1"/>
  <c r="J196" i="1"/>
  <c r="J41" i="1"/>
  <c r="J69" i="1"/>
  <c r="J154" i="1"/>
  <c r="J181" i="1"/>
  <c r="J126" i="1"/>
  <c r="J246" i="1"/>
  <c r="J135" i="1"/>
  <c r="J255" i="1"/>
  <c r="J108" i="1"/>
  <c r="J228" i="1"/>
  <c r="J109" i="1"/>
  <c r="J229" i="1"/>
  <c r="J110" i="1"/>
  <c r="J230" i="1"/>
  <c r="J111" i="1"/>
  <c r="J231" i="1"/>
  <c r="J30" i="1"/>
  <c r="J58" i="1"/>
  <c r="J153" i="1"/>
  <c r="J180" i="1"/>
  <c r="J33" i="1"/>
  <c r="J61" i="1"/>
  <c r="J160" i="1"/>
  <c r="J187" i="1"/>
  <c r="J125" i="1"/>
  <c r="J245" i="1"/>
  <c r="J121" i="1"/>
  <c r="J241" i="1"/>
  <c r="J42" i="1"/>
  <c r="J70" i="1"/>
  <c r="J45" i="1"/>
  <c r="J73" i="1"/>
  <c r="J157" i="1"/>
  <c r="J184" i="1"/>
  <c r="J38" i="1"/>
  <c r="J66" i="1"/>
  <c r="J146" i="1"/>
  <c r="J173" i="1"/>
  <c r="J39" i="1"/>
  <c r="J67" i="1"/>
  <c r="J147" i="1"/>
  <c r="J174" i="1"/>
  <c r="J119" i="1"/>
  <c r="J239" i="1"/>
  <c r="J127" i="1"/>
  <c r="J247" i="1"/>
  <c r="J53" i="1"/>
  <c r="J112" i="1"/>
  <c r="J232" i="1"/>
  <c r="J123" i="1"/>
  <c r="J243" i="1"/>
  <c r="J113" i="1"/>
  <c r="J233" i="1"/>
  <c r="J114" i="1"/>
  <c r="J234" i="1"/>
  <c r="J122" i="1"/>
  <c r="J242" i="1"/>
  <c r="J115" i="1"/>
  <c r="J235" i="1"/>
  <c r="J11" i="1"/>
  <c r="J22" i="1"/>
  <c r="J8" i="1"/>
</calcChain>
</file>

<file path=xl/sharedStrings.xml><?xml version="1.0" encoding="utf-8"?>
<sst xmlns="http://schemas.openxmlformats.org/spreadsheetml/2006/main" count="2775" uniqueCount="443">
  <si>
    <t>Sample_ID</t>
  </si>
  <si>
    <t>Index</t>
  </si>
  <si>
    <t>Run</t>
  </si>
  <si>
    <t>Marker</t>
  </si>
  <si>
    <t>PrimerF</t>
  </si>
  <si>
    <t>PrimerR</t>
  </si>
  <si>
    <t>FIELD_ID</t>
  </si>
  <si>
    <t>FILTRATION</t>
  </si>
  <si>
    <t>EXTRACTION</t>
  </si>
  <si>
    <t>TREATMENT</t>
  </si>
  <si>
    <t>Unique_SAMPLE_ID</t>
  </si>
  <si>
    <t>LAT</t>
  </si>
  <si>
    <t>LON</t>
  </si>
  <si>
    <t>SITE</t>
  </si>
  <si>
    <t>MiBird_run1_barcode33</t>
  </si>
  <si>
    <t>MiBird</t>
  </si>
  <si>
    <t>GGGTTGGTAAATCTTGTGCCAGC</t>
  </si>
  <si>
    <t>CATAGTGGGGTATCTAATCCCAGTTTG</t>
  </si>
  <si>
    <t>ST3-02P</t>
  </si>
  <si>
    <t>Passive</t>
  </si>
  <si>
    <t>Column</t>
  </si>
  <si>
    <t>ST3-02PA</t>
  </si>
  <si>
    <t>65.039343</t>
  </si>
  <si>
    <t>25.425435</t>
  </si>
  <si>
    <t>Station3</t>
  </si>
  <si>
    <t>MiBird_run1_barcode35</t>
  </si>
  <si>
    <t>ST2-05C</t>
  </si>
  <si>
    <t>Coffee</t>
  </si>
  <si>
    <t>ST2-05CA</t>
  </si>
  <si>
    <t>65.039426</t>
  </si>
  <si>
    <t>25.426312</t>
  </si>
  <si>
    <t>Station2</t>
  </si>
  <si>
    <t>MiBird_run1_barcode36</t>
  </si>
  <si>
    <t>QuickExtract</t>
  </si>
  <si>
    <t>ST2-05CB</t>
  </si>
  <si>
    <t>MiBird_run1_barcode40</t>
  </si>
  <si>
    <t>ST2-03P</t>
  </si>
  <si>
    <t>ST2-03PA</t>
  </si>
  <si>
    <t>MiBird_run1_barcode41</t>
  </si>
  <si>
    <t>ST2-03PB</t>
  </si>
  <si>
    <t>MiBird_run1_barcode42</t>
  </si>
  <si>
    <t>ST2-03C</t>
  </si>
  <si>
    <t>ST2-03CA</t>
  </si>
  <si>
    <t>MiBird_run1_barcode43</t>
  </si>
  <si>
    <t>ST2-03CB</t>
  </si>
  <si>
    <t>MiBird_run1_barcode44</t>
  </si>
  <si>
    <t>ST3-04S</t>
  </si>
  <si>
    <t>Sylphium</t>
  </si>
  <si>
    <t>MiBird_run1_barcode45</t>
  </si>
  <si>
    <t>ST2-02P</t>
  </si>
  <si>
    <t>ST2-02PA</t>
  </si>
  <si>
    <t>MiBird_run1_barcode46</t>
  </si>
  <si>
    <t>ST2-02PB</t>
  </si>
  <si>
    <t>MiBird_run1_barcode47</t>
  </si>
  <si>
    <t>ST3-05C</t>
  </si>
  <si>
    <t>ST3-05CA</t>
  </si>
  <si>
    <t>MiBird_run1_barcode48</t>
  </si>
  <si>
    <t>ST3-01C</t>
  </si>
  <si>
    <t>ST3-01CB</t>
  </si>
  <si>
    <t>MiBird_run1_barcode49</t>
  </si>
  <si>
    <t>ST2-02S</t>
  </si>
  <si>
    <t>MiBird_run1_barcode50</t>
  </si>
  <si>
    <t>ST2-01P</t>
  </si>
  <si>
    <t>ST2-01PA</t>
  </si>
  <si>
    <t>MiBird_run1_barcode51</t>
  </si>
  <si>
    <t>ST2-01PB</t>
  </si>
  <si>
    <t>MiBird_run1_barcode52</t>
  </si>
  <si>
    <t>ST3-06C</t>
  </si>
  <si>
    <t>ST3-06CA</t>
  </si>
  <si>
    <t>MiBird_run1_barcode53</t>
  </si>
  <si>
    <t>ST3-06CB</t>
  </si>
  <si>
    <t>MiBird_run1_barcode54</t>
  </si>
  <si>
    <t>ST2-01S</t>
  </si>
  <si>
    <t>MiBird_run1_barcode55</t>
  </si>
  <si>
    <t>ST3-03P</t>
  </si>
  <si>
    <t>ST3-03PA</t>
  </si>
  <si>
    <t>MiBird_run1_barcode56</t>
  </si>
  <si>
    <t>ST3-05P</t>
  </si>
  <si>
    <t>ST3-05PB</t>
  </si>
  <si>
    <t>MiBird_run1_barcode57</t>
  </si>
  <si>
    <t>ST2-02C</t>
  </si>
  <si>
    <t>ST2-02CA</t>
  </si>
  <si>
    <t>MiBird_run1_barcode58</t>
  </si>
  <si>
    <t>ST2-02CB</t>
  </si>
  <si>
    <t>MiBird_run1_barcode59</t>
  </si>
  <si>
    <t>ST3-05S</t>
  </si>
  <si>
    <t>MiBird_run1_barcode60</t>
  </si>
  <si>
    <t>ST3-01P</t>
  </si>
  <si>
    <t>ST3-01PA</t>
  </si>
  <si>
    <t>MiBird_run1_barcode62</t>
  </si>
  <si>
    <t>ST3-03C</t>
  </si>
  <si>
    <t>ST3-03CA</t>
  </si>
  <si>
    <t>MiBird_run1_barcode63</t>
  </si>
  <si>
    <t>ST3-03CB</t>
  </si>
  <si>
    <t>MiBird_run2_barcode33</t>
  </si>
  <si>
    <t>MiBird_run2_barcode34</t>
  </si>
  <si>
    <t>ST3-02PB</t>
  </si>
  <si>
    <t>MiBird_run2_barcode35</t>
  </si>
  <si>
    <t>MiBird_run2_barcode36</t>
  </si>
  <si>
    <t>MiBird_run2_barcode37</t>
  </si>
  <si>
    <t>ST3-06S</t>
  </si>
  <si>
    <t>EB_MiBird_run2_barcode38</t>
  </si>
  <si>
    <t>EXTBLANK_mibird</t>
  </si>
  <si>
    <t>Extractionblank</t>
  </si>
  <si>
    <t>Control</t>
  </si>
  <si>
    <t>PB_MiBird_run2_barcode39</t>
  </si>
  <si>
    <t>PCRNEG_mibird</t>
  </si>
  <si>
    <t>PCRnegative</t>
  </si>
  <si>
    <t>MiBird_run2_barcode40</t>
  </si>
  <si>
    <t>MiBird_run2_barcode41</t>
  </si>
  <si>
    <t>MiBird_run2_barcode42</t>
  </si>
  <si>
    <t>MiBird_run2_barcode43</t>
  </si>
  <si>
    <t>MiBird_run2_barcode44</t>
  </si>
  <si>
    <t>MiBird_run2_barcode45</t>
  </si>
  <si>
    <t>MiBird_run2_barcode46</t>
  </si>
  <si>
    <t>MiBird_run2_barcode47</t>
  </si>
  <si>
    <t>MiBird_run2_barcode48</t>
  </si>
  <si>
    <t>MiBird_run2_barcode49</t>
  </si>
  <si>
    <t>MiBird_run2_barcode50</t>
  </si>
  <si>
    <t>MiBird_run2_barcode51</t>
  </si>
  <si>
    <t>MiBird_run2_barcode52</t>
  </si>
  <si>
    <t>MiBird_run2_barcode53</t>
  </si>
  <si>
    <t>MiBird_run2_barcode54</t>
  </si>
  <si>
    <t>MiBird_run2_barcode55</t>
  </si>
  <si>
    <t>MiBird_run2_barcode56</t>
  </si>
  <si>
    <t>MiBird_run2_barcode57</t>
  </si>
  <si>
    <t>MiBird_run2_barcode58</t>
  </si>
  <si>
    <t>MiBird_run2_barcode59</t>
  </si>
  <si>
    <t>MiBird_run2_barcode60</t>
  </si>
  <si>
    <t>MiBird_run2_barcode61</t>
  </si>
  <si>
    <t>ST3-01PB</t>
  </si>
  <si>
    <t>MiBird_run2_barcode62</t>
  </si>
  <si>
    <t>MiBird_run2_barcode63</t>
  </si>
  <si>
    <t>EB_MiBird_run4_barcode01</t>
  </si>
  <si>
    <t>QEB 23.3.26 CB</t>
  </si>
  <si>
    <t>EB_MiBird_run4_barcode02</t>
  </si>
  <si>
    <t>PassiveExtBlA</t>
  </si>
  <si>
    <t>EB_MiBird_run4_barcode03</t>
  </si>
  <si>
    <t>PassiveExtBlB</t>
  </si>
  <si>
    <t>EB_MiBird_run4_barcode04</t>
  </si>
  <si>
    <t>INC230326</t>
  </si>
  <si>
    <t>EB_MiBird_run4_barcode05</t>
  </si>
  <si>
    <t>INC2303</t>
  </si>
  <si>
    <t>EB_MiBird_run4_barcode06</t>
  </si>
  <si>
    <t>Aneg</t>
  </si>
  <si>
    <t>PB_MiBird_run4_barcode08</t>
  </si>
  <si>
    <t>PCR neg1</t>
  </si>
  <si>
    <t>MiBird_run4_barcode09</t>
  </si>
  <si>
    <t>ST1-01TA</t>
  </si>
  <si>
    <t>Torpedo</t>
  </si>
  <si>
    <t>65.039492</t>
  </si>
  <si>
    <t>25.426576</t>
  </si>
  <si>
    <t>Station1</t>
  </si>
  <si>
    <t>MiBird_run4_barcode10</t>
  </si>
  <si>
    <t>ST1-01TB</t>
  </si>
  <si>
    <t>MiBird_run4_barcode11</t>
  </si>
  <si>
    <t>ST1-02TA</t>
  </si>
  <si>
    <t>MiBird_run4_barcode12</t>
  </si>
  <si>
    <t>ST1-02TB</t>
  </si>
  <si>
    <t>MiBird_run4_barcode13</t>
  </si>
  <si>
    <t>ST1-03TA</t>
  </si>
  <si>
    <t>MiBird_run4_barcode14</t>
  </si>
  <si>
    <t>ST1-03TB</t>
  </si>
  <si>
    <t>MiBird_run4_barcode15</t>
  </si>
  <si>
    <t>ST1-04TA</t>
  </si>
  <si>
    <t>MiBird_run4_barcode16</t>
  </si>
  <si>
    <t>ST1-04TB</t>
  </si>
  <si>
    <t>MiBird_run4_barcode17</t>
  </si>
  <si>
    <t>ST1-05TA</t>
  </si>
  <si>
    <t>MiBird_run4_barcode18</t>
  </si>
  <si>
    <t>ST1-05TB</t>
  </si>
  <si>
    <t>MiBird_run4_barcode19</t>
  </si>
  <si>
    <t>ST1-06TA</t>
  </si>
  <si>
    <t>MiBird_run4_barcode20</t>
  </si>
  <si>
    <t>ST1-06TB</t>
  </si>
  <si>
    <t>MiBird_run4_barcode21</t>
  </si>
  <si>
    <t>ST1-01PA</t>
  </si>
  <si>
    <t>MiBird_run4_barcode22</t>
  </si>
  <si>
    <t>ST1-01PB</t>
  </si>
  <si>
    <t>MiBird_run4_barcode23</t>
  </si>
  <si>
    <t>ST1-02PA</t>
  </si>
  <si>
    <t>MiBird_run4_barcode24</t>
  </si>
  <si>
    <t>ST1-02PB</t>
  </si>
  <si>
    <t>MiBird_run4_barcode25</t>
  </si>
  <si>
    <t>ST1-03PA</t>
  </si>
  <si>
    <t>MiBird_run4_barcode26</t>
  </si>
  <si>
    <t>ST1-03PB</t>
  </si>
  <si>
    <t>MiBird_run4_barcode27</t>
  </si>
  <si>
    <t>ST1-04PA</t>
  </si>
  <si>
    <t>MiBird_run4_barcode28</t>
  </si>
  <si>
    <t>ST1-04PB</t>
  </si>
  <si>
    <t>MiBird_run4_barcode29</t>
  </si>
  <si>
    <t>ST1-05PA</t>
  </si>
  <si>
    <t>MiBird_run4_barcode30</t>
  </si>
  <si>
    <t>ST1-05PB</t>
  </si>
  <si>
    <t>MiBird_run4_barcode31</t>
  </si>
  <si>
    <t>ST1-06PA</t>
  </si>
  <si>
    <t>MiBird_run4_barcode32</t>
  </si>
  <si>
    <t>ST1-06PB</t>
  </si>
  <si>
    <t>MiBird_run4_barcode33</t>
  </si>
  <si>
    <t>ST2-01CA</t>
  </si>
  <si>
    <t>MiBird_run4_barcode34</t>
  </si>
  <si>
    <t>ST2-01CB</t>
  </si>
  <si>
    <t>MiBird_run4_barcode35</t>
  </si>
  <si>
    <t>ST2-04CA</t>
  </si>
  <si>
    <t>MiBird_run4_barcode36</t>
  </si>
  <si>
    <t>ST2-04CB</t>
  </si>
  <si>
    <t>MiBird_run4_barcode37</t>
  </si>
  <si>
    <t>ST2-06CA</t>
  </si>
  <si>
    <t>MiBird_run4_barcode38</t>
  </si>
  <si>
    <t>ST2-06CB</t>
  </si>
  <si>
    <t>MiBird_run4_barcode39</t>
  </si>
  <si>
    <t>ST3-04CA</t>
  </si>
  <si>
    <t>MiBird_run4_barcode40</t>
  </si>
  <si>
    <t>ST3-04CB</t>
  </si>
  <si>
    <t>MiBird_run4_barcode41</t>
  </si>
  <si>
    <t>ST3-04PA</t>
  </si>
  <si>
    <t>MiBird_run4_barcode42</t>
  </si>
  <si>
    <t>ST3-04PB</t>
  </si>
  <si>
    <t>MiBird_run4_barcode43</t>
  </si>
  <si>
    <t>ST4-1PA</t>
  </si>
  <si>
    <t>65.016027</t>
  </si>
  <si>
    <t>25.460656</t>
  </si>
  <si>
    <t>Station4</t>
  </si>
  <si>
    <t>MiBird_run4_barcode44</t>
  </si>
  <si>
    <t>ST4-1PB</t>
  </si>
  <si>
    <t>MiBird_run4_barcode45</t>
  </si>
  <si>
    <t>ST4-1TA</t>
  </si>
  <si>
    <t>MiBird_run4_barcode46</t>
  </si>
  <si>
    <t>ST4-1TB</t>
  </si>
  <si>
    <t>MiBird_run4_barcode47</t>
  </si>
  <si>
    <t>P-10A</t>
  </si>
  <si>
    <t>MiBird_run4_barcode48</t>
  </si>
  <si>
    <t>CoA</t>
  </si>
  <si>
    <t>MiBird_run4_barcode49</t>
  </si>
  <si>
    <t>ST2-06PA - A12P</t>
  </si>
  <si>
    <t>MiBird_run4_barcode50</t>
  </si>
  <si>
    <t>ST3-06PA (8A)</t>
  </si>
  <si>
    <t>MiBird_run4_barcode51</t>
  </si>
  <si>
    <t>ST2-05PA</t>
  </si>
  <si>
    <t>MiBird_run4_barcode52</t>
  </si>
  <si>
    <t>ST3-05PA (17A)</t>
  </si>
  <si>
    <t>MiBird_run4_barcode53</t>
  </si>
  <si>
    <t>ST4-1TAb</t>
  </si>
  <si>
    <t>MiBird_run4_barcode54</t>
  </si>
  <si>
    <t>ST4-1PAB</t>
  </si>
  <si>
    <t>MiBird_run4_barcode55</t>
  </si>
  <si>
    <t>ST3-02CB</t>
  </si>
  <si>
    <t>MiBird_run4_barcode56</t>
  </si>
  <si>
    <t>ST3-05CB</t>
  </si>
  <si>
    <t>MiBird_run4_barcode57</t>
  </si>
  <si>
    <t>ST3-03PB</t>
  </si>
  <si>
    <t>MiBird_run4_barcode58</t>
  </si>
  <si>
    <t>ST3-06PB (18B)</t>
  </si>
  <si>
    <t>MiBird_run4_barcode59</t>
  </si>
  <si>
    <t>ST2-06PB (B12P)</t>
  </si>
  <si>
    <t>MiBird_run4_barcode60</t>
  </si>
  <si>
    <t>ST2-04PB (P-10B)</t>
  </si>
  <si>
    <t>MiBird_run4_barcode61</t>
  </si>
  <si>
    <t>ST2-05PB</t>
  </si>
  <si>
    <t>MiBird_run4_barcode62</t>
  </si>
  <si>
    <t>ST3-02CA</t>
  </si>
  <si>
    <t>EB_MiBird_run4_barcode63</t>
  </si>
  <si>
    <t>CoffeeExtBlA</t>
  </si>
  <si>
    <t>EB_MiBird_run4_barcode64</t>
  </si>
  <si>
    <t>CoffeeExtBlB</t>
  </si>
  <si>
    <t>MiBird_run4_barcode65</t>
  </si>
  <si>
    <t>ST3-02S</t>
  </si>
  <si>
    <t>MiBird_run4_barcode66</t>
  </si>
  <si>
    <t>ST3-01S</t>
  </si>
  <si>
    <t>MiBird_run4_barcode67</t>
  </si>
  <si>
    <t>ST2-04S</t>
  </si>
  <si>
    <t>MiBird_run4_barcode68</t>
  </si>
  <si>
    <t>ST3-03S</t>
  </si>
  <si>
    <t>MiBird_run4_barcode69</t>
  </si>
  <si>
    <t>ST2-05S</t>
  </si>
  <si>
    <t>MiBird_run4_barcode70</t>
  </si>
  <si>
    <t>ST2-06S</t>
  </si>
  <si>
    <t>EB_MiBird_run4_barcode71</t>
  </si>
  <si>
    <t>stneg</t>
  </si>
  <si>
    <t>PB_MiBird_run4_barcode72</t>
  </si>
  <si>
    <t>PCR neg2</t>
  </si>
  <si>
    <t>Teleo2_run1_barcode65</t>
  </si>
  <si>
    <t>Teleo2</t>
  </si>
  <si>
    <t>AAACTCGTGCCAGCCACC</t>
  </si>
  <si>
    <t>GGGTATCTAATCCCAGTTTG</t>
  </si>
  <si>
    <t>Teleo2_run1_barcode66</t>
  </si>
  <si>
    <t>Teleo2_run1_barcode67</t>
  </si>
  <si>
    <t>Teleo2_run1_barcode68</t>
  </si>
  <si>
    <t>Teleo2_run1_barcode69</t>
  </si>
  <si>
    <t>Teleo2_run1_barcode70</t>
  </si>
  <si>
    <t>Teleo2_run1_barcode71</t>
  </si>
  <si>
    <t>Teleo2_run1_barcode72</t>
  </si>
  <si>
    <t>Teleo2_run1_barcode73</t>
  </si>
  <si>
    <t>Teleo2_run1_barcode74</t>
  </si>
  <si>
    <t>Teleo2_run1_barcode75</t>
  </si>
  <si>
    <t>Teleo2_run1_barcode77</t>
  </si>
  <si>
    <t>Teleo2_run1_barcode78</t>
  </si>
  <si>
    <t>Teleo2_run1_barcode79</t>
  </si>
  <si>
    <t>Teleo2_run1_barcode80</t>
  </si>
  <si>
    <t>Teleo2_run1_barcode81</t>
  </si>
  <si>
    <t>Teleo2_run1_barcode82</t>
  </si>
  <si>
    <t>Teleo2_run1_barcode83</t>
  </si>
  <si>
    <t>Teleo2_run1_barcode85</t>
  </si>
  <si>
    <t>Teleo2_run1_barcode86</t>
  </si>
  <si>
    <t>Teleo2_run1_barcode87</t>
  </si>
  <si>
    <t>Teleo2_run1_barcode88</t>
  </si>
  <si>
    <t>Teleo2_run1_barcode90</t>
  </si>
  <si>
    <t>Teleo2_run1_barcode91</t>
  </si>
  <si>
    <t>Teleo2_run1_barcode92</t>
  </si>
  <si>
    <t>Teleo2_run1_barcode93</t>
  </si>
  <si>
    <t>Teleo2_run1_barcode94</t>
  </si>
  <si>
    <t>ST2-03S</t>
  </si>
  <si>
    <t>EB_Teleo2_run1_barcode95</t>
  </si>
  <si>
    <t>EXTBLANK_teleo2</t>
  </si>
  <si>
    <t>Teleo2_run2_barcode65</t>
  </si>
  <si>
    <t>Teleo2_run2_barcode66</t>
  </si>
  <si>
    <t>Teleo2_run2_barcode67</t>
  </si>
  <si>
    <t>Teleo2_run2_barcode68</t>
  </si>
  <si>
    <t>Teleo2_run2_barcode69</t>
  </si>
  <si>
    <t>Teleo2_run2_barcode70</t>
  </si>
  <si>
    <t>Teleo2_run2_barcode71</t>
  </si>
  <si>
    <t>Teleo2_run2_barcode72</t>
  </si>
  <si>
    <t>Teleo2_run2_barcode73</t>
  </si>
  <si>
    <t>Teleo2_run2_barcode74</t>
  </si>
  <si>
    <t>Teleo2_run2_barcode75</t>
  </si>
  <si>
    <t>Teleo2_run2_barcode77</t>
  </si>
  <si>
    <t>Teleo2_run2_barcode78</t>
  </si>
  <si>
    <t>Teleo2_run2_barcode79</t>
  </si>
  <si>
    <t>Teleo2_run2_barcode80</t>
  </si>
  <si>
    <t>Teleo2_run2_barcode81</t>
  </si>
  <si>
    <t>Teleo2_run2_barcode82</t>
  </si>
  <si>
    <t>Teleo2_run2_barcode83</t>
  </si>
  <si>
    <t>Teleo2_run2_barcode85</t>
  </si>
  <si>
    <t>Teleo2_run2_barcode86</t>
  </si>
  <si>
    <t>Teleo2_run2_barcode87</t>
  </si>
  <si>
    <t>Teleo2_run2_barcode88</t>
  </si>
  <si>
    <t>Teleo2_run2_barcode90</t>
  </si>
  <si>
    <t>Teleo2_run2_barcode91</t>
  </si>
  <si>
    <t>Teleo2_run2_barcode92</t>
  </si>
  <si>
    <t>Teleo2_run2_barcode93</t>
  </si>
  <si>
    <t>Teleo2_run2_barcode94</t>
  </si>
  <si>
    <t>EB_Teleo2_run2_barcode95</t>
  </si>
  <si>
    <t>PB_Teleo2_run2_barcode96</t>
  </si>
  <si>
    <t>PCRNEG_teleo2</t>
  </si>
  <si>
    <t>Teleo2_run4_barcode01</t>
  </si>
  <si>
    <t>ST1-01T</t>
  </si>
  <si>
    <t>Teleo2_run4_barcode02</t>
  </si>
  <si>
    <t>Teleo2_run4_barcode03</t>
  </si>
  <si>
    <t>ST1-02T</t>
  </si>
  <si>
    <t>Teleo2_run4_barcode04</t>
  </si>
  <si>
    <t>Teleo2_run4_barcode05</t>
  </si>
  <si>
    <t>ST1-03T</t>
  </si>
  <si>
    <t>Teleo2_run4_barcode06</t>
  </si>
  <si>
    <t>Teleo2_run4_barcode07</t>
  </si>
  <si>
    <t>ST1-04T</t>
  </si>
  <si>
    <t>Teleo2_run4_barcode08</t>
  </si>
  <si>
    <t>Teleo2_run4_barcode09</t>
  </si>
  <si>
    <t>ST1-05T</t>
  </si>
  <si>
    <t>Teleo2_run4_barcode10</t>
  </si>
  <si>
    <t>Teleo2_run4_barcode11</t>
  </si>
  <si>
    <t>ST1-06T</t>
  </si>
  <si>
    <t>Teleo2_run4_barcode12</t>
  </si>
  <si>
    <t>Teleo2_run4_barcode13</t>
  </si>
  <si>
    <t>ST1-01P</t>
  </si>
  <si>
    <t>Teleo2_run4_barcode14</t>
  </si>
  <si>
    <t>Teleo2_run4_barcode15</t>
  </si>
  <si>
    <t>ST1-02P</t>
  </si>
  <si>
    <t>Teleo2_run4_barcode16</t>
  </si>
  <si>
    <t>Teleo2_run4_barcode17</t>
  </si>
  <si>
    <t>ST1-03P</t>
  </si>
  <si>
    <t>Teleo2_run4_barcode18</t>
  </si>
  <si>
    <t>Teleo2_run4_barcode19</t>
  </si>
  <si>
    <t>ST1-04P</t>
  </si>
  <si>
    <t>Teleo2_run4_barcode20</t>
  </si>
  <si>
    <t>Teleo2_run4_barcode21</t>
  </si>
  <si>
    <t>ST1-05P</t>
  </si>
  <si>
    <t>Teleo2_run4_barcode22</t>
  </si>
  <si>
    <t>Teleo2_run4_barcode23</t>
  </si>
  <si>
    <t>ST1-06P</t>
  </si>
  <si>
    <t>Teleo2_run4_barcode24</t>
  </si>
  <si>
    <t>Teleo2_run4_barcode25</t>
  </si>
  <si>
    <t>ST2-01C</t>
  </si>
  <si>
    <t>Teleo2_run4_barcode26</t>
  </si>
  <si>
    <t>Teleo2_run4_barcode27</t>
  </si>
  <si>
    <t>ST2-04C</t>
  </si>
  <si>
    <t>Teleo2_run4_barcode28</t>
  </si>
  <si>
    <t>Teleo2_run4_barcode29</t>
  </si>
  <si>
    <t>ST2-06C</t>
  </si>
  <si>
    <t>Teleo2_run4_barcode30</t>
  </si>
  <si>
    <t>Teleo2_run4_barcode31</t>
  </si>
  <si>
    <t>ST3-04C</t>
  </si>
  <si>
    <t>Teleo2_run4_barcode32</t>
  </si>
  <si>
    <t>Teleo2_run4_barcode33</t>
  </si>
  <si>
    <t>ST3-04P</t>
  </si>
  <si>
    <t>Teleo2_run4_barcode34</t>
  </si>
  <si>
    <t>Teleo2_run4_barcode35</t>
  </si>
  <si>
    <t>ST4-01P</t>
  </si>
  <si>
    <t>Teleo2_run4_barcode36</t>
  </si>
  <si>
    <t>Teleo2_run4_barcode37</t>
  </si>
  <si>
    <t>ST4-01T</t>
  </si>
  <si>
    <t>Teleo2_run4_barcode38</t>
  </si>
  <si>
    <t>Teleo2_run4_barcode39</t>
  </si>
  <si>
    <t>ST2-04P</t>
  </si>
  <si>
    <t>Teleo2_run4_barcode40</t>
  </si>
  <si>
    <t>Teleo2_run4_barcode41</t>
  </si>
  <si>
    <t>ST2-06P</t>
  </si>
  <si>
    <t>Teleo2_run4_barcode42</t>
  </si>
  <si>
    <t>ST3-06P</t>
  </si>
  <si>
    <t>Teleo2_run4_barcode43</t>
  </si>
  <si>
    <t>ST2-05P</t>
  </si>
  <si>
    <t>Teleo2_run4_barcode44</t>
  </si>
  <si>
    <t>Teleo2_run4_barcode45</t>
  </si>
  <si>
    <t>Teleo2_run4_barcode46</t>
  </si>
  <si>
    <t>Teleo2_run4_barcode47</t>
  </si>
  <si>
    <t>ST3-02C</t>
  </si>
  <si>
    <t>Teleo2_run4_barcode48</t>
  </si>
  <si>
    <t>Teleo2_run4_barcode49</t>
  </si>
  <si>
    <t>Teleo2_run4_barcode50</t>
  </si>
  <si>
    <t>Teleo2_run4_barcode51</t>
  </si>
  <si>
    <t>Teleo2_run4_barcode52</t>
  </si>
  <si>
    <t>Teleo2_run4_barcode53</t>
  </si>
  <si>
    <t>Teleo2_run4_barcode54</t>
  </si>
  <si>
    <t>EB_Teleo2_run4_barcode55</t>
  </si>
  <si>
    <t>EB_Teleo2_run4_barcode56</t>
  </si>
  <si>
    <t>EB_Teleo2_run4_barcode57</t>
  </si>
  <si>
    <t>EB_Teleo2_run4_barcode58</t>
  </si>
  <si>
    <t>EB_Teleo2_run4_barcode59</t>
  </si>
  <si>
    <t>EB_Teleo2_run4_barcode60</t>
  </si>
  <si>
    <t>EB_Teleo2_run4_barcode61</t>
  </si>
  <si>
    <t>EB_Teleo2_run4_barcode62</t>
  </si>
  <si>
    <t>PB_Teleo2_run4_barcode63</t>
  </si>
  <si>
    <t>Teleo2_run4_barcode65</t>
  </si>
  <si>
    <t>Teleo2_run4_barcode66</t>
  </si>
  <si>
    <t>Teleo2_run4_barcode67</t>
  </si>
  <si>
    <t>Teleo2_run4_barcode68</t>
  </si>
  <si>
    <t>Teleo2_run4_barcode69</t>
  </si>
  <si>
    <t>Teleo2_run4_barcode70</t>
  </si>
  <si>
    <t>EB_Teleo2_run4_barcode71</t>
  </si>
  <si>
    <t>EXT_NEGATIVE</t>
  </si>
  <si>
    <t>PB_Teleo2_run4_barcode72</t>
  </si>
  <si>
    <t>PCR_NEGATIVE</t>
  </si>
  <si>
    <t>QUBIT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</si>
</sst>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A7BFD-4EAC-4DC2-9D5C-EA6D8F9C20DA}">
  <dimension ref="A1:O257"/>
  <sheetViews>
    <sheetView tabSelected="1" topLeftCell="A115" workbookViewId="0">
      <selection activeCell="A135" sqref="A135"/>
    </sheetView>
  </sheetViews>
  <sheetFormatPr defaultRowHeight="14.4" x14ac:dyDescent="0.55000000000000004"/>
  <cols>
    <col min="1" max="1" width="22.5234375" bestFit="1" customWidth="1"/>
    <col min="10" max="10" width="27.41796875" bestFit="1" customWidth="1"/>
    <col min="14" max="14" width="16" bestFit="1" customWidth="1"/>
  </cols>
  <sheetData>
    <row r="1" spans="1:15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11</v>
      </c>
      <c r="L1" t="s">
        <v>12</v>
      </c>
      <c r="M1" t="s">
        <v>13</v>
      </c>
      <c r="N1" t="s">
        <v>10</v>
      </c>
      <c r="O1" t="s">
        <v>442</v>
      </c>
    </row>
    <row r="2" spans="1:15" x14ac:dyDescent="0.55000000000000004">
      <c r="A2" t="s">
        <v>101</v>
      </c>
      <c r="B2">
        <v>38</v>
      </c>
      <c r="C2">
        <v>2</v>
      </c>
      <c r="D2" t="s">
        <v>15</v>
      </c>
      <c r="E2" t="s">
        <v>16</v>
      </c>
      <c r="F2" t="s">
        <v>17</v>
      </c>
      <c r="G2" t="s">
        <v>102</v>
      </c>
      <c r="H2" t="s">
        <v>103</v>
      </c>
      <c r="I2" t="s">
        <v>103</v>
      </c>
      <c r="J2" t="str">
        <f>H2&amp;"-"&amp;I2</f>
        <v>Extractionblank-Extractionblank</v>
      </c>
      <c r="M2" t="s">
        <v>104</v>
      </c>
      <c r="N2" t="s">
        <v>102</v>
      </c>
    </row>
    <row r="3" spans="1:15" x14ac:dyDescent="0.55000000000000004">
      <c r="A3" t="s">
        <v>133</v>
      </c>
      <c r="B3">
        <v>1</v>
      </c>
      <c r="C3">
        <v>4</v>
      </c>
      <c r="D3" t="s">
        <v>15</v>
      </c>
      <c r="E3" t="s">
        <v>16</v>
      </c>
      <c r="F3" t="s">
        <v>17</v>
      </c>
      <c r="G3" t="s">
        <v>134</v>
      </c>
      <c r="H3" t="s">
        <v>103</v>
      </c>
      <c r="I3" t="s">
        <v>33</v>
      </c>
      <c r="J3" t="str">
        <f>H3&amp;"-"&amp;I3</f>
        <v>Extractionblank-QuickExtract</v>
      </c>
      <c r="M3" t="s">
        <v>104</v>
      </c>
      <c r="N3" t="s">
        <v>134</v>
      </c>
    </row>
    <row r="4" spans="1:15" x14ac:dyDescent="0.55000000000000004">
      <c r="A4" t="s">
        <v>135</v>
      </c>
      <c r="B4">
        <v>2</v>
      </c>
      <c r="C4">
        <v>4</v>
      </c>
      <c r="D4" t="s">
        <v>15</v>
      </c>
      <c r="E4" t="s">
        <v>16</v>
      </c>
      <c r="F4" t="s">
        <v>17</v>
      </c>
      <c r="G4" t="s">
        <v>136</v>
      </c>
      <c r="H4" t="s">
        <v>103</v>
      </c>
      <c r="I4" t="s">
        <v>20</v>
      </c>
      <c r="J4" t="str">
        <f>H4&amp;"-"&amp;I4</f>
        <v>Extractionblank-Column</v>
      </c>
      <c r="M4" t="s">
        <v>104</v>
      </c>
      <c r="N4" t="s">
        <v>136</v>
      </c>
    </row>
    <row r="5" spans="1:15" x14ac:dyDescent="0.55000000000000004">
      <c r="A5" t="s">
        <v>137</v>
      </c>
      <c r="B5">
        <v>3</v>
      </c>
      <c r="C5">
        <v>4</v>
      </c>
      <c r="D5" t="s">
        <v>15</v>
      </c>
      <c r="E5" t="s">
        <v>16</v>
      </c>
      <c r="F5" t="s">
        <v>17</v>
      </c>
      <c r="G5" t="s">
        <v>138</v>
      </c>
      <c r="H5" t="s">
        <v>103</v>
      </c>
      <c r="I5" t="s">
        <v>33</v>
      </c>
      <c r="J5" t="str">
        <f>H5&amp;"-"&amp;I5</f>
        <v>Extractionblank-QuickExtract</v>
      </c>
      <c r="M5" t="s">
        <v>104</v>
      </c>
      <c r="N5" t="s">
        <v>138</v>
      </c>
    </row>
    <row r="6" spans="1:15" x14ac:dyDescent="0.55000000000000004">
      <c r="A6" t="s">
        <v>139</v>
      </c>
      <c r="B6">
        <v>4</v>
      </c>
      <c r="C6">
        <v>4</v>
      </c>
      <c r="D6" t="s">
        <v>15</v>
      </c>
      <c r="E6" t="s">
        <v>16</v>
      </c>
      <c r="F6" t="s">
        <v>17</v>
      </c>
      <c r="G6" t="s">
        <v>140</v>
      </c>
      <c r="H6" t="s">
        <v>103</v>
      </c>
      <c r="I6" t="s">
        <v>47</v>
      </c>
      <c r="J6" t="str">
        <f>H6&amp;"-"&amp;I6</f>
        <v>Extractionblank-Sylphium</v>
      </c>
      <c r="M6" t="s">
        <v>104</v>
      </c>
      <c r="N6" t="s">
        <v>140</v>
      </c>
    </row>
    <row r="7" spans="1:15" x14ac:dyDescent="0.55000000000000004">
      <c r="A7" t="s">
        <v>141</v>
      </c>
      <c r="B7">
        <v>5</v>
      </c>
      <c r="C7">
        <v>4</v>
      </c>
      <c r="D7" t="s">
        <v>15</v>
      </c>
      <c r="E7" t="s">
        <v>16</v>
      </c>
      <c r="F7" t="s">
        <v>17</v>
      </c>
      <c r="G7" t="s">
        <v>142</v>
      </c>
      <c r="H7" t="s">
        <v>103</v>
      </c>
      <c r="I7" t="s">
        <v>47</v>
      </c>
      <c r="J7" t="str">
        <f>H7&amp;"-"&amp;I7</f>
        <v>Extractionblank-Sylphium</v>
      </c>
      <c r="M7" t="s">
        <v>104</v>
      </c>
      <c r="N7" t="s">
        <v>142</v>
      </c>
    </row>
    <row r="8" spans="1:15" x14ac:dyDescent="0.55000000000000004">
      <c r="A8" t="s">
        <v>143</v>
      </c>
      <c r="B8">
        <v>6</v>
      </c>
      <c r="C8">
        <v>4</v>
      </c>
      <c r="D8" t="s">
        <v>15</v>
      </c>
      <c r="E8" t="s">
        <v>16</v>
      </c>
      <c r="F8" t="s">
        <v>17</v>
      </c>
      <c r="G8" t="s">
        <v>144</v>
      </c>
      <c r="H8" t="s">
        <v>19</v>
      </c>
      <c r="I8" t="s">
        <v>20</v>
      </c>
      <c r="J8" t="str">
        <f>H8&amp;"-"&amp;I8</f>
        <v>Passive-Column</v>
      </c>
      <c r="M8" t="s">
        <v>104</v>
      </c>
      <c r="N8" t="s">
        <v>144</v>
      </c>
    </row>
    <row r="9" spans="1:15" x14ac:dyDescent="0.55000000000000004">
      <c r="A9" t="s">
        <v>262</v>
      </c>
      <c r="B9">
        <v>62</v>
      </c>
      <c r="C9">
        <v>4</v>
      </c>
      <c r="D9" t="s">
        <v>15</v>
      </c>
      <c r="E9" t="s">
        <v>16</v>
      </c>
      <c r="F9" t="s">
        <v>17</v>
      </c>
      <c r="G9" t="s">
        <v>263</v>
      </c>
      <c r="H9" t="s">
        <v>103</v>
      </c>
      <c r="I9" t="s">
        <v>20</v>
      </c>
      <c r="J9" t="str">
        <f>H9&amp;"-"&amp;I9</f>
        <v>Extractionblank-Column</v>
      </c>
      <c r="M9" t="s">
        <v>104</v>
      </c>
      <c r="N9" t="s">
        <v>263</v>
      </c>
    </row>
    <row r="10" spans="1:15" x14ac:dyDescent="0.55000000000000004">
      <c r="A10" t="s">
        <v>264</v>
      </c>
      <c r="B10">
        <v>63</v>
      </c>
      <c r="C10">
        <v>4</v>
      </c>
      <c r="D10" t="s">
        <v>15</v>
      </c>
      <c r="E10" t="s">
        <v>16</v>
      </c>
      <c r="F10" t="s">
        <v>17</v>
      </c>
      <c r="G10" t="s">
        <v>265</v>
      </c>
      <c r="H10" t="s">
        <v>103</v>
      </c>
      <c r="I10" t="s">
        <v>33</v>
      </c>
      <c r="J10" t="str">
        <f>H10&amp;"-"&amp;I10</f>
        <v>Extractionblank-QuickExtract</v>
      </c>
      <c r="M10" t="s">
        <v>104</v>
      </c>
      <c r="N10" t="s">
        <v>265</v>
      </c>
    </row>
    <row r="11" spans="1:15" x14ac:dyDescent="0.55000000000000004">
      <c r="A11" t="s">
        <v>278</v>
      </c>
      <c r="B11">
        <v>70</v>
      </c>
      <c r="C11">
        <v>4</v>
      </c>
      <c r="D11" t="s">
        <v>15</v>
      </c>
      <c r="E11" t="s">
        <v>16</v>
      </c>
      <c r="F11" t="s">
        <v>17</v>
      </c>
      <c r="G11" t="s">
        <v>279</v>
      </c>
      <c r="H11" t="s">
        <v>47</v>
      </c>
      <c r="I11" t="s">
        <v>47</v>
      </c>
      <c r="J11" t="str">
        <f>H11&amp;"-"&amp;I11</f>
        <v>Sylphium-Sylphium</v>
      </c>
      <c r="M11" t="s">
        <v>104</v>
      </c>
      <c r="N11" t="s">
        <v>279</v>
      </c>
    </row>
    <row r="12" spans="1:15" x14ac:dyDescent="0.55000000000000004">
      <c r="A12" t="s">
        <v>313</v>
      </c>
      <c r="B12">
        <v>95</v>
      </c>
      <c r="C12">
        <v>1</v>
      </c>
      <c r="D12" t="s">
        <v>283</v>
      </c>
      <c r="E12" t="s">
        <v>284</v>
      </c>
      <c r="F12" t="s">
        <v>285</v>
      </c>
      <c r="G12" t="s">
        <v>314</v>
      </c>
      <c r="H12" t="s">
        <v>103</v>
      </c>
      <c r="I12" t="s">
        <v>103</v>
      </c>
      <c r="J12" t="str">
        <f>H12&amp;"-"&amp;I12</f>
        <v>Extractionblank-Extractionblank</v>
      </c>
      <c r="M12" t="s">
        <v>104</v>
      </c>
      <c r="N12" t="s">
        <v>314</v>
      </c>
    </row>
    <row r="13" spans="1:15" x14ac:dyDescent="0.55000000000000004">
      <c r="A13" t="s">
        <v>342</v>
      </c>
      <c r="B13">
        <v>95</v>
      </c>
      <c r="C13">
        <v>2</v>
      </c>
      <c r="D13" t="s">
        <v>283</v>
      </c>
      <c r="E13" t="s">
        <v>284</v>
      </c>
      <c r="F13" t="s">
        <v>285</v>
      </c>
      <c r="G13" t="s">
        <v>314</v>
      </c>
      <c r="H13" t="s">
        <v>103</v>
      </c>
      <c r="I13" t="s">
        <v>103</v>
      </c>
      <c r="J13" t="str">
        <f>H13&amp;"-"&amp;I13</f>
        <v>Extractionblank-Extractionblank</v>
      </c>
      <c r="M13" t="s">
        <v>104</v>
      </c>
      <c r="N13" t="s">
        <v>314</v>
      </c>
    </row>
    <row r="14" spans="1:15" x14ac:dyDescent="0.55000000000000004">
      <c r="A14" t="s">
        <v>423</v>
      </c>
      <c r="B14">
        <v>55</v>
      </c>
      <c r="C14">
        <v>4</v>
      </c>
      <c r="D14" t="s">
        <v>283</v>
      </c>
      <c r="E14" t="s">
        <v>284</v>
      </c>
      <c r="F14" t="s">
        <v>285</v>
      </c>
      <c r="G14" t="s">
        <v>263</v>
      </c>
      <c r="H14" t="s">
        <v>103</v>
      </c>
      <c r="I14" t="s">
        <v>20</v>
      </c>
      <c r="J14" t="str">
        <f>H14&amp;"-"&amp;I14</f>
        <v>Extractionblank-Column</v>
      </c>
      <c r="M14" t="s">
        <v>104</v>
      </c>
      <c r="N14" t="s">
        <v>263</v>
      </c>
    </row>
    <row r="15" spans="1:15" x14ac:dyDescent="0.55000000000000004">
      <c r="A15" t="s">
        <v>424</v>
      </c>
      <c r="B15">
        <v>56</v>
      </c>
      <c r="C15">
        <v>4</v>
      </c>
      <c r="D15" t="s">
        <v>283</v>
      </c>
      <c r="E15" t="s">
        <v>284</v>
      </c>
      <c r="F15" t="s">
        <v>285</v>
      </c>
      <c r="G15" t="s">
        <v>265</v>
      </c>
      <c r="H15" t="s">
        <v>103</v>
      </c>
      <c r="I15" t="s">
        <v>33</v>
      </c>
      <c r="J15" t="str">
        <f>H15&amp;"-"&amp;I15</f>
        <v>Extractionblank-QuickExtract</v>
      </c>
      <c r="M15" t="s">
        <v>104</v>
      </c>
      <c r="N15" t="s">
        <v>265</v>
      </c>
    </row>
    <row r="16" spans="1:15" x14ac:dyDescent="0.55000000000000004">
      <c r="A16" t="s">
        <v>425</v>
      </c>
      <c r="B16">
        <v>57</v>
      </c>
      <c r="C16">
        <v>4</v>
      </c>
      <c r="D16" t="s">
        <v>283</v>
      </c>
      <c r="E16" t="s">
        <v>284</v>
      </c>
      <c r="F16" t="s">
        <v>285</v>
      </c>
      <c r="G16" t="s">
        <v>136</v>
      </c>
      <c r="H16" t="s">
        <v>103</v>
      </c>
      <c r="I16" t="s">
        <v>20</v>
      </c>
      <c r="J16" t="str">
        <f>H16&amp;"-"&amp;I16</f>
        <v>Extractionblank-Column</v>
      </c>
      <c r="M16" t="s">
        <v>104</v>
      </c>
      <c r="N16" t="s">
        <v>136</v>
      </c>
    </row>
    <row r="17" spans="1:15" x14ac:dyDescent="0.55000000000000004">
      <c r="A17" t="s">
        <v>426</v>
      </c>
      <c r="B17">
        <v>58</v>
      </c>
      <c r="C17">
        <v>4</v>
      </c>
      <c r="D17" t="s">
        <v>283</v>
      </c>
      <c r="E17" t="s">
        <v>284</v>
      </c>
      <c r="F17" t="s">
        <v>285</v>
      </c>
      <c r="G17" t="s">
        <v>138</v>
      </c>
      <c r="H17" t="s">
        <v>103</v>
      </c>
      <c r="I17" t="s">
        <v>33</v>
      </c>
      <c r="J17" t="str">
        <f>H17&amp;"-"&amp;I17</f>
        <v>Extractionblank-QuickExtract</v>
      </c>
      <c r="M17" t="s">
        <v>104</v>
      </c>
      <c r="N17" t="s">
        <v>138</v>
      </c>
    </row>
    <row r="18" spans="1:15" x14ac:dyDescent="0.55000000000000004">
      <c r="A18" t="s">
        <v>427</v>
      </c>
      <c r="B18">
        <v>59</v>
      </c>
      <c r="C18">
        <v>4</v>
      </c>
      <c r="D18" t="s">
        <v>283</v>
      </c>
      <c r="E18" t="s">
        <v>284</v>
      </c>
      <c r="F18" t="s">
        <v>285</v>
      </c>
      <c r="G18" t="s">
        <v>140</v>
      </c>
      <c r="H18" t="s">
        <v>103</v>
      </c>
      <c r="I18" t="s">
        <v>47</v>
      </c>
      <c r="J18" t="str">
        <f>H18&amp;"-"&amp;I18</f>
        <v>Extractionblank-Sylphium</v>
      </c>
      <c r="M18" t="s">
        <v>104</v>
      </c>
      <c r="N18" t="s">
        <v>140</v>
      </c>
    </row>
    <row r="19" spans="1:15" x14ac:dyDescent="0.55000000000000004">
      <c r="A19" t="s">
        <v>428</v>
      </c>
      <c r="B19">
        <v>60</v>
      </c>
      <c r="C19">
        <v>4</v>
      </c>
      <c r="D19" t="s">
        <v>283</v>
      </c>
      <c r="E19" t="s">
        <v>284</v>
      </c>
      <c r="F19" t="s">
        <v>285</v>
      </c>
      <c r="G19" t="s">
        <v>142</v>
      </c>
      <c r="H19" t="s">
        <v>103</v>
      </c>
      <c r="I19" t="s">
        <v>47</v>
      </c>
      <c r="J19" t="str">
        <f>H19&amp;"-"&amp;I19</f>
        <v>Extractionblank-Sylphium</v>
      </c>
      <c r="M19" t="s">
        <v>104</v>
      </c>
      <c r="N19" t="s">
        <v>142</v>
      </c>
    </row>
    <row r="20" spans="1:15" x14ac:dyDescent="0.55000000000000004">
      <c r="A20" t="s">
        <v>429</v>
      </c>
      <c r="B20">
        <v>61</v>
      </c>
      <c r="C20">
        <v>4</v>
      </c>
      <c r="D20" t="s">
        <v>283</v>
      </c>
      <c r="E20" t="s">
        <v>284</v>
      </c>
      <c r="F20" t="s">
        <v>285</v>
      </c>
      <c r="G20" t="s">
        <v>144</v>
      </c>
      <c r="H20" t="s">
        <v>19</v>
      </c>
      <c r="I20" t="s">
        <v>20</v>
      </c>
      <c r="J20" t="str">
        <f>H20&amp;"-"&amp;I20</f>
        <v>Passive-Column</v>
      </c>
      <c r="M20" t="s">
        <v>104</v>
      </c>
      <c r="N20" t="s">
        <v>144</v>
      </c>
    </row>
    <row r="21" spans="1:15" x14ac:dyDescent="0.55000000000000004">
      <c r="A21" t="s">
        <v>430</v>
      </c>
      <c r="B21">
        <v>62</v>
      </c>
      <c r="C21">
        <v>4</v>
      </c>
      <c r="D21" t="s">
        <v>283</v>
      </c>
      <c r="E21" t="s">
        <v>284</v>
      </c>
      <c r="F21" t="s">
        <v>285</v>
      </c>
      <c r="G21" t="s">
        <v>134</v>
      </c>
      <c r="H21" t="s">
        <v>103</v>
      </c>
      <c r="I21" t="s">
        <v>33</v>
      </c>
      <c r="J21" t="str">
        <f>H21&amp;"-"&amp;I21</f>
        <v>Extractionblank-QuickExtract</v>
      </c>
      <c r="M21" t="s">
        <v>104</v>
      </c>
      <c r="N21" t="s">
        <v>134</v>
      </c>
    </row>
    <row r="22" spans="1:15" x14ac:dyDescent="0.55000000000000004">
      <c r="A22" t="s">
        <v>438</v>
      </c>
      <c r="B22">
        <v>71</v>
      </c>
      <c r="C22">
        <v>4</v>
      </c>
      <c r="D22" t="s">
        <v>283</v>
      </c>
      <c r="E22" t="s">
        <v>284</v>
      </c>
      <c r="F22" t="s">
        <v>285</v>
      </c>
      <c r="G22" t="s">
        <v>439</v>
      </c>
      <c r="H22" t="s">
        <v>47</v>
      </c>
      <c r="I22" t="s">
        <v>47</v>
      </c>
      <c r="J22" t="str">
        <f>H22&amp;"-"&amp;I22</f>
        <v>Sylphium-Sylphium</v>
      </c>
      <c r="M22" t="s">
        <v>104</v>
      </c>
      <c r="N22" t="s">
        <v>279</v>
      </c>
    </row>
    <row r="23" spans="1:15" x14ac:dyDescent="0.55000000000000004">
      <c r="A23" t="s">
        <v>14</v>
      </c>
      <c r="B23">
        <v>33</v>
      </c>
      <c r="C23">
        <v>1</v>
      </c>
      <c r="D23" t="s">
        <v>15</v>
      </c>
      <c r="E23" t="s">
        <v>16</v>
      </c>
      <c r="F23" t="s">
        <v>17</v>
      </c>
      <c r="G23" t="s">
        <v>18</v>
      </c>
      <c r="H23" t="s">
        <v>19</v>
      </c>
      <c r="I23" t="s">
        <v>20</v>
      </c>
      <c r="J23" t="str">
        <f>H23&amp;"-"&amp;I23</f>
        <v>Passive-Column</v>
      </c>
      <c r="K23" t="s">
        <v>22</v>
      </c>
      <c r="L23" t="s">
        <v>23</v>
      </c>
      <c r="M23" t="s">
        <v>24</v>
      </c>
      <c r="N23" t="s">
        <v>21</v>
      </c>
      <c r="O23" s="1">
        <v>8.7499999999999994E-2</v>
      </c>
    </row>
    <row r="24" spans="1:15" x14ac:dyDescent="0.55000000000000004">
      <c r="A24" t="s">
        <v>25</v>
      </c>
      <c r="B24">
        <v>35</v>
      </c>
      <c r="C24">
        <v>1</v>
      </c>
      <c r="D24" t="s">
        <v>15</v>
      </c>
      <c r="E24" t="s">
        <v>16</v>
      </c>
      <c r="F24" t="s">
        <v>17</v>
      </c>
      <c r="G24" t="s">
        <v>26</v>
      </c>
      <c r="H24" t="s">
        <v>27</v>
      </c>
      <c r="I24" t="s">
        <v>20</v>
      </c>
      <c r="J24" t="str">
        <f>H24&amp;"-"&amp;I24</f>
        <v>Coffee-Column</v>
      </c>
      <c r="K24" t="s">
        <v>29</v>
      </c>
      <c r="L24" t="s">
        <v>30</v>
      </c>
      <c r="M24" t="s">
        <v>31</v>
      </c>
      <c r="N24" t="s">
        <v>28</v>
      </c>
      <c r="O24" s="1">
        <v>1.73</v>
      </c>
    </row>
    <row r="25" spans="1:15" x14ac:dyDescent="0.55000000000000004">
      <c r="A25" t="s">
        <v>32</v>
      </c>
      <c r="B25">
        <v>36</v>
      </c>
      <c r="C25">
        <v>1</v>
      </c>
      <c r="D25" t="s">
        <v>15</v>
      </c>
      <c r="E25" t="s">
        <v>16</v>
      </c>
      <c r="F25" t="s">
        <v>17</v>
      </c>
      <c r="G25" t="s">
        <v>26</v>
      </c>
      <c r="H25" t="s">
        <v>27</v>
      </c>
      <c r="I25" t="s">
        <v>33</v>
      </c>
      <c r="J25" t="str">
        <f>H25&amp;"-"&amp;I25</f>
        <v>Coffee-QuickExtract</v>
      </c>
      <c r="K25" t="s">
        <v>29</v>
      </c>
      <c r="L25" t="s">
        <v>30</v>
      </c>
      <c r="M25" t="s">
        <v>31</v>
      </c>
      <c r="N25" t="s">
        <v>34</v>
      </c>
      <c r="O25" s="1">
        <v>0.98499999999999999</v>
      </c>
    </row>
    <row r="26" spans="1:15" x14ac:dyDescent="0.55000000000000004">
      <c r="A26" t="s">
        <v>35</v>
      </c>
      <c r="B26">
        <v>40</v>
      </c>
      <c r="C26">
        <v>1</v>
      </c>
      <c r="D26" t="s">
        <v>15</v>
      </c>
      <c r="E26" t="s">
        <v>16</v>
      </c>
      <c r="F26" t="s">
        <v>17</v>
      </c>
      <c r="G26" t="s">
        <v>36</v>
      </c>
      <c r="H26" t="s">
        <v>19</v>
      </c>
      <c r="I26" t="s">
        <v>20</v>
      </c>
      <c r="J26" t="str">
        <f>H26&amp;"-"&amp;I26</f>
        <v>Passive-Column</v>
      </c>
      <c r="K26" t="s">
        <v>29</v>
      </c>
      <c r="L26" t="s">
        <v>30</v>
      </c>
      <c r="M26" t="s">
        <v>31</v>
      </c>
      <c r="N26" t="s">
        <v>37</v>
      </c>
      <c r="O26" s="1">
        <v>9.6500000000000002E-2</v>
      </c>
    </row>
    <row r="27" spans="1:15" x14ac:dyDescent="0.55000000000000004">
      <c r="A27" t="s">
        <v>38</v>
      </c>
      <c r="B27">
        <v>41</v>
      </c>
      <c r="C27">
        <v>1</v>
      </c>
      <c r="D27" t="s">
        <v>15</v>
      </c>
      <c r="E27" t="s">
        <v>16</v>
      </c>
      <c r="F27" t="s">
        <v>17</v>
      </c>
      <c r="G27" t="s">
        <v>36</v>
      </c>
      <c r="H27" t="s">
        <v>19</v>
      </c>
      <c r="I27" t="s">
        <v>33</v>
      </c>
      <c r="J27" t="str">
        <f>H27&amp;"-"&amp;I27</f>
        <v>Passive-QuickExtract</v>
      </c>
      <c r="K27" t="s">
        <v>29</v>
      </c>
      <c r="L27" t="s">
        <v>30</v>
      </c>
      <c r="M27" t="s">
        <v>31</v>
      </c>
      <c r="N27" t="s">
        <v>39</v>
      </c>
      <c r="O27" s="1">
        <v>2.9000000000000001E-2</v>
      </c>
    </row>
    <row r="28" spans="1:15" x14ac:dyDescent="0.55000000000000004">
      <c r="A28" t="s">
        <v>40</v>
      </c>
      <c r="B28">
        <v>42</v>
      </c>
      <c r="C28">
        <v>1</v>
      </c>
      <c r="D28" t="s">
        <v>15</v>
      </c>
      <c r="E28" t="s">
        <v>16</v>
      </c>
      <c r="F28" t="s">
        <v>17</v>
      </c>
      <c r="G28" t="s">
        <v>41</v>
      </c>
      <c r="H28" t="s">
        <v>27</v>
      </c>
      <c r="I28" t="s">
        <v>20</v>
      </c>
      <c r="J28" t="str">
        <f>H28&amp;"-"&amp;I28</f>
        <v>Coffee-Column</v>
      </c>
      <c r="K28" t="s">
        <v>29</v>
      </c>
      <c r="L28" t="s">
        <v>30</v>
      </c>
      <c r="M28" t="s">
        <v>31</v>
      </c>
      <c r="N28" t="s">
        <v>42</v>
      </c>
      <c r="O28" s="1">
        <v>0.157</v>
      </c>
    </row>
    <row r="29" spans="1:15" x14ac:dyDescent="0.55000000000000004">
      <c r="A29" t="s">
        <v>43</v>
      </c>
      <c r="B29">
        <v>43</v>
      </c>
      <c r="C29">
        <v>1</v>
      </c>
      <c r="D29" t="s">
        <v>15</v>
      </c>
      <c r="E29" t="s">
        <v>16</v>
      </c>
      <c r="F29" t="s">
        <v>17</v>
      </c>
      <c r="G29" t="s">
        <v>41</v>
      </c>
      <c r="H29" t="s">
        <v>27</v>
      </c>
      <c r="I29" t="s">
        <v>33</v>
      </c>
      <c r="J29" t="str">
        <f>H29&amp;"-"&amp;I29</f>
        <v>Coffee-QuickExtract</v>
      </c>
      <c r="K29" t="s">
        <v>29</v>
      </c>
      <c r="L29" t="s">
        <v>30</v>
      </c>
      <c r="M29" t="s">
        <v>31</v>
      </c>
      <c r="N29" t="s">
        <v>44</v>
      </c>
      <c r="O29" s="1">
        <v>0.39800000000000002</v>
      </c>
    </row>
    <row r="30" spans="1:15" x14ac:dyDescent="0.55000000000000004">
      <c r="A30" t="s">
        <v>45</v>
      </c>
      <c r="B30">
        <v>44</v>
      </c>
      <c r="C30">
        <v>1</v>
      </c>
      <c r="D30" t="s">
        <v>15</v>
      </c>
      <c r="E30" t="s">
        <v>16</v>
      </c>
      <c r="F30" t="s">
        <v>17</v>
      </c>
      <c r="G30" t="s">
        <v>46</v>
      </c>
      <c r="H30" t="s">
        <v>47</v>
      </c>
      <c r="I30" t="s">
        <v>47</v>
      </c>
      <c r="J30" t="str">
        <f>H30&amp;"-"&amp;I30</f>
        <v>Sylphium-Sylphium</v>
      </c>
      <c r="K30" t="s">
        <v>22</v>
      </c>
      <c r="L30" t="s">
        <v>23</v>
      </c>
      <c r="M30" t="s">
        <v>24</v>
      </c>
      <c r="N30" t="s">
        <v>46</v>
      </c>
      <c r="O30" s="1">
        <v>4.1399999999999997</v>
      </c>
    </row>
    <row r="31" spans="1:15" x14ac:dyDescent="0.55000000000000004">
      <c r="A31" t="s">
        <v>48</v>
      </c>
      <c r="B31">
        <v>45</v>
      </c>
      <c r="C31">
        <v>1</v>
      </c>
      <c r="D31" t="s">
        <v>15</v>
      </c>
      <c r="E31" t="s">
        <v>16</v>
      </c>
      <c r="F31" t="s">
        <v>17</v>
      </c>
      <c r="G31" t="s">
        <v>49</v>
      </c>
      <c r="H31" t="s">
        <v>19</v>
      </c>
      <c r="I31" t="s">
        <v>20</v>
      </c>
      <c r="J31" t="str">
        <f>H31&amp;"-"&amp;I31</f>
        <v>Passive-Column</v>
      </c>
      <c r="K31" t="s">
        <v>29</v>
      </c>
      <c r="L31" t="s">
        <v>30</v>
      </c>
      <c r="M31" t="s">
        <v>31</v>
      </c>
      <c r="N31" t="s">
        <v>50</v>
      </c>
      <c r="O31" s="1">
        <v>0.17599999999999999</v>
      </c>
    </row>
    <row r="32" spans="1:15" x14ac:dyDescent="0.55000000000000004">
      <c r="A32" t="s">
        <v>51</v>
      </c>
      <c r="B32">
        <v>46</v>
      </c>
      <c r="C32">
        <v>1</v>
      </c>
      <c r="D32" t="s">
        <v>15</v>
      </c>
      <c r="E32" t="s">
        <v>16</v>
      </c>
      <c r="F32" t="s">
        <v>17</v>
      </c>
      <c r="G32" t="s">
        <v>49</v>
      </c>
      <c r="H32" t="s">
        <v>19</v>
      </c>
      <c r="I32" t="s">
        <v>33</v>
      </c>
      <c r="J32" t="str">
        <f>H32&amp;"-"&amp;I32</f>
        <v>Passive-QuickExtract</v>
      </c>
      <c r="K32" t="s">
        <v>29</v>
      </c>
      <c r="L32" t="s">
        <v>30</v>
      </c>
      <c r="M32" t="s">
        <v>31</v>
      </c>
      <c r="N32" t="s">
        <v>52</v>
      </c>
      <c r="O32" s="1">
        <v>3.15E-2</v>
      </c>
    </row>
    <row r="33" spans="1:15" x14ac:dyDescent="0.55000000000000004">
      <c r="A33" t="s">
        <v>53</v>
      </c>
      <c r="B33">
        <v>47</v>
      </c>
      <c r="C33">
        <v>1</v>
      </c>
      <c r="D33" t="s">
        <v>15</v>
      </c>
      <c r="E33" t="s">
        <v>16</v>
      </c>
      <c r="F33" t="s">
        <v>17</v>
      </c>
      <c r="G33" t="s">
        <v>54</v>
      </c>
      <c r="H33" t="s">
        <v>27</v>
      </c>
      <c r="I33" t="s">
        <v>20</v>
      </c>
      <c r="J33" t="str">
        <f>H33&amp;"-"&amp;I33</f>
        <v>Coffee-Column</v>
      </c>
      <c r="K33" t="s">
        <v>22</v>
      </c>
      <c r="L33" t="s">
        <v>23</v>
      </c>
      <c r="M33" t="s">
        <v>24</v>
      </c>
      <c r="N33" t="s">
        <v>55</v>
      </c>
      <c r="O33" s="1">
        <v>1.31</v>
      </c>
    </row>
    <row r="34" spans="1:15" x14ac:dyDescent="0.55000000000000004">
      <c r="A34" t="s">
        <v>56</v>
      </c>
      <c r="B34">
        <v>48</v>
      </c>
      <c r="C34">
        <v>1</v>
      </c>
      <c r="D34" t="s">
        <v>15</v>
      </c>
      <c r="E34" t="s">
        <v>16</v>
      </c>
      <c r="F34" t="s">
        <v>17</v>
      </c>
      <c r="G34" t="s">
        <v>57</v>
      </c>
      <c r="H34" t="s">
        <v>27</v>
      </c>
      <c r="I34" t="s">
        <v>33</v>
      </c>
      <c r="J34" t="str">
        <f>H34&amp;"-"&amp;I34</f>
        <v>Coffee-QuickExtract</v>
      </c>
      <c r="K34" t="s">
        <v>22</v>
      </c>
      <c r="L34" t="s">
        <v>23</v>
      </c>
      <c r="M34" t="s">
        <v>24</v>
      </c>
      <c r="N34" t="s">
        <v>58</v>
      </c>
      <c r="O34" s="1">
        <v>0.62</v>
      </c>
    </row>
    <row r="35" spans="1:15" x14ac:dyDescent="0.55000000000000004">
      <c r="A35" t="s">
        <v>59</v>
      </c>
      <c r="B35">
        <v>49</v>
      </c>
      <c r="C35">
        <v>1</v>
      </c>
      <c r="D35" t="s">
        <v>15</v>
      </c>
      <c r="E35" t="s">
        <v>16</v>
      </c>
      <c r="F35" t="s">
        <v>17</v>
      </c>
      <c r="G35" t="s">
        <v>60</v>
      </c>
      <c r="H35" t="s">
        <v>47</v>
      </c>
      <c r="I35" t="s">
        <v>47</v>
      </c>
      <c r="J35" t="str">
        <f>H35&amp;"-"&amp;I35</f>
        <v>Sylphium-Sylphium</v>
      </c>
      <c r="K35" t="s">
        <v>29</v>
      </c>
      <c r="L35" t="s">
        <v>30</v>
      </c>
      <c r="M35" t="s">
        <v>31</v>
      </c>
      <c r="N35" t="s">
        <v>60</v>
      </c>
      <c r="O35" s="1">
        <v>0.10100000000000001</v>
      </c>
    </row>
    <row r="36" spans="1:15" x14ac:dyDescent="0.55000000000000004">
      <c r="A36" t="s">
        <v>61</v>
      </c>
      <c r="B36">
        <v>50</v>
      </c>
      <c r="C36">
        <v>1</v>
      </c>
      <c r="D36" t="s">
        <v>15</v>
      </c>
      <c r="E36" t="s">
        <v>16</v>
      </c>
      <c r="F36" t="s">
        <v>17</v>
      </c>
      <c r="G36" t="s">
        <v>62</v>
      </c>
      <c r="H36" t="s">
        <v>19</v>
      </c>
      <c r="I36" t="s">
        <v>20</v>
      </c>
      <c r="J36" t="str">
        <f>H36&amp;"-"&amp;I36</f>
        <v>Passive-Column</v>
      </c>
      <c r="K36" t="s">
        <v>29</v>
      </c>
      <c r="L36" t="s">
        <v>30</v>
      </c>
      <c r="M36" t="s">
        <v>31</v>
      </c>
      <c r="N36" t="s">
        <v>63</v>
      </c>
      <c r="O36" s="1">
        <v>0.124</v>
      </c>
    </row>
    <row r="37" spans="1:15" x14ac:dyDescent="0.55000000000000004">
      <c r="A37" t="s">
        <v>64</v>
      </c>
      <c r="B37">
        <v>51</v>
      </c>
      <c r="C37">
        <v>1</v>
      </c>
      <c r="D37" t="s">
        <v>15</v>
      </c>
      <c r="E37" t="s">
        <v>16</v>
      </c>
      <c r="F37" t="s">
        <v>17</v>
      </c>
      <c r="G37" t="s">
        <v>62</v>
      </c>
      <c r="H37" t="s">
        <v>19</v>
      </c>
      <c r="I37" t="s">
        <v>33</v>
      </c>
      <c r="J37" t="str">
        <f>H37&amp;"-"&amp;I37</f>
        <v>Passive-QuickExtract</v>
      </c>
      <c r="K37" t="s">
        <v>29</v>
      </c>
      <c r="L37" t="s">
        <v>30</v>
      </c>
      <c r="M37" t="s">
        <v>31</v>
      </c>
      <c r="N37" t="s">
        <v>65</v>
      </c>
      <c r="O37" s="1">
        <v>2.6499999999999999E-2</v>
      </c>
    </row>
    <row r="38" spans="1:15" x14ac:dyDescent="0.55000000000000004">
      <c r="A38" t="s">
        <v>66</v>
      </c>
      <c r="B38">
        <v>52</v>
      </c>
      <c r="C38">
        <v>1</v>
      </c>
      <c r="D38" t="s">
        <v>15</v>
      </c>
      <c r="E38" t="s">
        <v>16</v>
      </c>
      <c r="F38" t="s">
        <v>17</v>
      </c>
      <c r="G38" t="s">
        <v>67</v>
      </c>
      <c r="H38" t="s">
        <v>27</v>
      </c>
      <c r="I38" t="s">
        <v>20</v>
      </c>
      <c r="J38" t="str">
        <f>H38&amp;"-"&amp;I38</f>
        <v>Coffee-Column</v>
      </c>
      <c r="K38" t="s">
        <v>22</v>
      </c>
      <c r="L38" t="s">
        <v>23</v>
      </c>
      <c r="M38" t="s">
        <v>24</v>
      </c>
      <c r="N38" t="s">
        <v>68</v>
      </c>
      <c r="O38" s="1">
        <v>2.84</v>
      </c>
    </row>
    <row r="39" spans="1:15" x14ac:dyDescent="0.55000000000000004">
      <c r="A39" t="s">
        <v>69</v>
      </c>
      <c r="B39">
        <v>53</v>
      </c>
      <c r="C39">
        <v>1</v>
      </c>
      <c r="D39" t="s">
        <v>15</v>
      </c>
      <c r="E39" t="s">
        <v>16</v>
      </c>
      <c r="F39" t="s">
        <v>17</v>
      </c>
      <c r="G39" t="s">
        <v>67</v>
      </c>
      <c r="H39" t="s">
        <v>27</v>
      </c>
      <c r="I39" t="s">
        <v>33</v>
      </c>
      <c r="J39" t="str">
        <f>H39&amp;"-"&amp;I39</f>
        <v>Coffee-QuickExtract</v>
      </c>
      <c r="K39" t="s">
        <v>22</v>
      </c>
      <c r="L39" t="s">
        <v>23</v>
      </c>
      <c r="M39" t="s">
        <v>24</v>
      </c>
      <c r="N39" t="s">
        <v>70</v>
      </c>
      <c r="O39" s="1">
        <v>0.439</v>
      </c>
    </row>
    <row r="40" spans="1:15" x14ac:dyDescent="0.55000000000000004">
      <c r="A40" t="s">
        <v>71</v>
      </c>
      <c r="B40">
        <v>54</v>
      </c>
      <c r="C40">
        <v>1</v>
      </c>
      <c r="D40" t="s">
        <v>15</v>
      </c>
      <c r="E40" t="s">
        <v>16</v>
      </c>
      <c r="F40" t="s">
        <v>17</v>
      </c>
      <c r="G40" t="s">
        <v>72</v>
      </c>
      <c r="H40" t="s">
        <v>47</v>
      </c>
      <c r="I40" t="s">
        <v>47</v>
      </c>
      <c r="J40" t="str">
        <f>H40&amp;"-"&amp;I40</f>
        <v>Sylphium-Sylphium</v>
      </c>
      <c r="K40" t="s">
        <v>29</v>
      </c>
      <c r="L40" t="s">
        <v>30</v>
      </c>
      <c r="M40" t="s">
        <v>31</v>
      </c>
      <c r="N40" t="s">
        <v>72</v>
      </c>
      <c r="O40" s="1">
        <v>2.06</v>
      </c>
    </row>
    <row r="41" spans="1:15" x14ac:dyDescent="0.55000000000000004">
      <c r="A41" t="s">
        <v>73</v>
      </c>
      <c r="B41">
        <v>55</v>
      </c>
      <c r="C41">
        <v>1</v>
      </c>
      <c r="D41" t="s">
        <v>15</v>
      </c>
      <c r="E41" t="s">
        <v>16</v>
      </c>
      <c r="F41" t="s">
        <v>17</v>
      </c>
      <c r="G41" t="s">
        <v>74</v>
      </c>
      <c r="H41" t="s">
        <v>19</v>
      </c>
      <c r="I41" t="s">
        <v>20</v>
      </c>
      <c r="J41" t="str">
        <f>H41&amp;"-"&amp;I41</f>
        <v>Passive-Column</v>
      </c>
      <c r="K41" t="s">
        <v>22</v>
      </c>
      <c r="L41" t="s">
        <v>23</v>
      </c>
      <c r="M41" t="s">
        <v>24</v>
      </c>
      <c r="N41" t="s">
        <v>75</v>
      </c>
      <c r="O41" s="1">
        <v>8.5999999999999993E-2</v>
      </c>
    </row>
    <row r="42" spans="1:15" x14ac:dyDescent="0.55000000000000004">
      <c r="A42" t="s">
        <v>76</v>
      </c>
      <c r="B42">
        <v>56</v>
      </c>
      <c r="C42">
        <v>1</v>
      </c>
      <c r="D42" t="s">
        <v>15</v>
      </c>
      <c r="E42" t="s">
        <v>16</v>
      </c>
      <c r="F42" t="s">
        <v>17</v>
      </c>
      <c r="G42" t="s">
        <v>77</v>
      </c>
      <c r="H42" t="s">
        <v>19</v>
      </c>
      <c r="I42" t="s">
        <v>33</v>
      </c>
      <c r="J42" t="str">
        <f>H42&amp;"-"&amp;I42</f>
        <v>Passive-QuickExtract</v>
      </c>
      <c r="K42" t="s">
        <v>22</v>
      </c>
      <c r="L42" t="s">
        <v>23</v>
      </c>
      <c r="M42" t="s">
        <v>24</v>
      </c>
      <c r="N42" t="s">
        <v>78</v>
      </c>
      <c r="O42" s="1">
        <v>4.4999999999999998E-2</v>
      </c>
    </row>
    <row r="43" spans="1:15" x14ac:dyDescent="0.55000000000000004">
      <c r="A43" t="s">
        <v>79</v>
      </c>
      <c r="B43">
        <v>57</v>
      </c>
      <c r="C43">
        <v>1</v>
      </c>
      <c r="D43" t="s">
        <v>15</v>
      </c>
      <c r="E43" t="s">
        <v>16</v>
      </c>
      <c r="F43" t="s">
        <v>17</v>
      </c>
      <c r="G43" t="s">
        <v>80</v>
      </c>
      <c r="H43" t="s">
        <v>27</v>
      </c>
      <c r="I43" t="s">
        <v>20</v>
      </c>
      <c r="J43" t="str">
        <f>H43&amp;"-"&amp;I43</f>
        <v>Coffee-Column</v>
      </c>
      <c r="K43" t="s">
        <v>29</v>
      </c>
      <c r="L43" t="s">
        <v>30</v>
      </c>
      <c r="M43" t="s">
        <v>31</v>
      </c>
      <c r="N43" t="s">
        <v>81</v>
      </c>
      <c r="O43" s="1">
        <v>0.53500000000000003</v>
      </c>
    </row>
    <row r="44" spans="1:15" x14ac:dyDescent="0.55000000000000004">
      <c r="A44" t="s">
        <v>82</v>
      </c>
      <c r="B44">
        <v>58</v>
      </c>
      <c r="C44">
        <v>1</v>
      </c>
      <c r="D44" t="s">
        <v>15</v>
      </c>
      <c r="E44" t="s">
        <v>16</v>
      </c>
      <c r="F44" t="s">
        <v>17</v>
      </c>
      <c r="G44" t="s">
        <v>80</v>
      </c>
      <c r="H44" t="s">
        <v>27</v>
      </c>
      <c r="I44" t="s">
        <v>33</v>
      </c>
      <c r="J44" t="str">
        <f>H44&amp;"-"&amp;I44</f>
        <v>Coffee-QuickExtract</v>
      </c>
      <c r="K44" t="s">
        <v>29</v>
      </c>
      <c r="L44" t="s">
        <v>30</v>
      </c>
      <c r="M44" t="s">
        <v>31</v>
      </c>
      <c r="N44" t="s">
        <v>83</v>
      </c>
      <c r="O44" s="1">
        <v>0.505</v>
      </c>
    </row>
    <row r="45" spans="1:15" x14ac:dyDescent="0.55000000000000004">
      <c r="A45" t="s">
        <v>84</v>
      </c>
      <c r="B45">
        <v>59</v>
      </c>
      <c r="C45">
        <v>1</v>
      </c>
      <c r="D45" t="s">
        <v>15</v>
      </c>
      <c r="E45" t="s">
        <v>16</v>
      </c>
      <c r="F45" t="s">
        <v>17</v>
      </c>
      <c r="G45" t="s">
        <v>85</v>
      </c>
      <c r="H45" t="s">
        <v>47</v>
      </c>
      <c r="I45" t="s">
        <v>47</v>
      </c>
      <c r="J45" t="str">
        <f>H45&amp;"-"&amp;I45</f>
        <v>Sylphium-Sylphium</v>
      </c>
      <c r="K45" t="s">
        <v>22</v>
      </c>
      <c r="L45" t="s">
        <v>23</v>
      </c>
      <c r="M45" t="s">
        <v>24</v>
      </c>
      <c r="N45" t="s">
        <v>85</v>
      </c>
      <c r="O45" s="1">
        <v>0.875</v>
      </c>
    </row>
    <row r="46" spans="1:15" x14ac:dyDescent="0.55000000000000004">
      <c r="A46" t="s">
        <v>86</v>
      </c>
      <c r="B46">
        <v>60</v>
      </c>
      <c r="C46">
        <v>1</v>
      </c>
      <c r="D46" t="s">
        <v>15</v>
      </c>
      <c r="E46" t="s">
        <v>16</v>
      </c>
      <c r="F46" t="s">
        <v>17</v>
      </c>
      <c r="G46" t="s">
        <v>87</v>
      </c>
      <c r="H46" t="s">
        <v>19</v>
      </c>
      <c r="I46" t="s">
        <v>20</v>
      </c>
      <c r="J46" t="str">
        <f>H46&amp;"-"&amp;I46</f>
        <v>Passive-Column</v>
      </c>
      <c r="K46" t="s">
        <v>22</v>
      </c>
      <c r="L46" t="s">
        <v>23</v>
      </c>
      <c r="M46" t="s">
        <v>24</v>
      </c>
      <c r="N46" t="s">
        <v>88</v>
      </c>
      <c r="O46" s="1">
        <v>0.10100000000000001</v>
      </c>
    </row>
    <row r="47" spans="1:15" x14ac:dyDescent="0.55000000000000004">
      <c r="A47" t="s">
        <v>89</v>
      </c>
      <c r="B47">
        <v>62</v>
      </c>
      <c r="C47">
        <v>1</v>
      </c>
      <c r="D47" t="s">
        <v>15</v>
      </c>
      <c r="E47" t="s">
        <v>16</v>
      </c>
      <c r="F47" t="s">
        <v>17</v>
      </c>
      <c r="G47" t="s">
        <v>90</v>
      </c>
      <c r="H47" t="s">
        <v>27</v>
      </c>
      <c r="I47" t="s">
        <v>20</v>
      </c>
      <c r="J47" t="str">
        <f>H47&amp;"-"&amp;I47</f>
        <v>Coffee-Column</v>
      </c>
      <c r="K47" t="s">
        <v>22</v>
      </c>
      <c r="L47" t="s">
        <v>23</v>
      </c>
      <c r="M47" t="s">
        <v>24</v>
      </c>
      <c r="N47" t="s">
        <v>91</v>
      </c>
      <c r="O47" s="1">
        <v>0.88</v>
      </c>
    </row>
    <row r="48" spans="1:15" x14ac:dyDescent="0.55000000000000004">
      <c r="A48" t="s">
        <v>92</v>
      </c>
      <c r="B48">
        <v>63</v>
      </c>
      <c r="C48">
        <v>1</v>
      </c>
      <c r="D48" t="s">
        <v>15</v>
      </c>
      <c r="E48" t="s">
        <v>16</v>
      </c>
      <c r="F48" t="s">
        <v>17</v>
      </c>
      <c r="G48" t="s">
        <v>90</v>
      </c>
      <c r="H48" t="s">
        <v>27</v>
      </c>
      <c r="I48" t="s">
        <v>33</v>
      </c>
      <c r="J48" t="str">
        <f>H48&amp;"-"&amp;I48</f>
        <v>Coffee-QuickExtract</v>
      </c>
      <c r="K48" t="s">
        <v>22</v>
      </c>
      <c r="L48" t="s">
        <v>23</v>
      </c>
      <c r="M48" t="s">
        <v>24</v>
      </c>
      <c r="N48" t="s">
        <v>93</v>
      </c>
      <c r="O48" s="1">
        <v>0.53500000000000003</v>
      </c>
    </row>
    <row r="49" spans="1:15" x14ac:dyDescent="0.55000000000000004">
      <c r="A49" t="s">
        <v>94</v>
      </c>
      <c r="B49">
        <v>33</v>
      </c>
      <c r="C49">
        <v>2</v>
      </c>
      <c r="D49" t="s">
        <v>15</v>
      </c>
      <c r="E49" t="s">
        <v>16</v>
      </c>
      <c r="F49" t="s">
        <v>17</v>
      </c>
      <c r="G49" t="s">
        <v>18</v>
      </c>
      <c r="H49" t="s">
        <v>19</v>
      </c>
      <c r="I49" t="s">
        <v>20</v>
      </c>
      <c r="J49" t="str">
        <f>H49&amp;"-"&amp;I49</f>
        <v>Passive-Column</v>
      </c>
      <c r="K49" t="s">
        <v>22</v>
      </c>
      <c r="L49" t="s">
        <v>23</v>
      </c>
      <c r="M49" t="s">
        <v>24</v>
      </c>
      <c r="N49" t="s">
        <v>21</v>
      </c>
      <c r="O49" s="1">
        <v>8.7499999999999994E-2</v>
      </c>
    </row>
    <row r="50" spans="1:15" x14ac:dyDescent="0.55000000000000004">
      <c r="A50" t="s">
        <v>95</v>
      </c>
      <c r="B50">
        <v>34</v>
      </c>
      <c r="C50">
        <v>2</v>
      </c>
      <c r="D50" t="s">
        <v>15</v>
      </c>
      <c r="E50" t="s">
        <v>16</v>
      </c>
      <c r="F50" t="s">
        <v>17</v>
      </c>
      <c r="G50" t="s">
        <v>18</v>
      </c>
      <c r="H50" t="s">
        <v>19</v>
      </c>
      <c r="I50" t="s">
        <v>33</v>
      </c>
      <c r="J50" t="str">
        <f>H50&amp;"-"&amp;I50</f>
        <v>Passive-QuickExtract</v>
      </c>
      <c r="K50" t="s">
        <v>22</v>
      </c>
      <c r="L50" t="s">
        <v>23</v>
      </c>
      <c r="M50" t="s">
        <v>24</v>
      </c>
      <c r="N50" t="s">
        <v>96</v>
      </c>
      <c r="O50" s="1">
        <v>3.2000000000000001E-2</v>
      </c>
    </row>
    <row r="51" spans="1:15" x14ac:dyDescent="0.55000000000000004">
      <c r="A51" t="s">
        <v>97</v>
      </c>
      <c r="B51">
        <v>35</v>
      </c>
      <c r="C51">
        <v>2</v>
      </c>
      <c r="D51" t="s">
        <v>15</v>
      </c>
      <c r="E51" t="s">
        <v>16</v>
      </c>
      <c r="F51" t="s">
        <v>17</v>
      </c>
      <c r="G51" t="s">
        <v>26</v>
      </c>
      <c r="H51" t="s">
        <v>27</v>
      </c>
      <c r="I51" t="s">
        <v>20</v>
      </c>
      <c r="J51" t="str">
        <f>H51&amp;"-"&amp;I51</f>
        <v>Coffee-Column</v>
      </c>
      <c r="K51" t="s">
        <v>29</v>
      </c>
      <c r="L51" t="s">
        <v>30</v>
      </c>
      <c r="M51" t="s">
        <v>31</v>
      </c>
      <c r="N51" t="s">
        <v>28</v>
      </c>
      <c r="O51" s="1">
        <v>1.73</v>
      </c>
    </row>
    <row r="52" spans="1:15" x14ac:dyDescent="0.55000000000000004">
      <c r="A52" t="s">
        <v>98</v>
      </c>
      <c r="B52">
        <v>36</v>
      </c>
      <c r="C52">
        <v>2</v>
      </c>
      <c r="D52" t="s">
        <v>15</v>
      </c>
      <c r="E52" t="s">
        <v>16</v>
      </c>
      <c r="F52" t="s">
        <v>17</v>
      </c>
      <c r="G52" t="s">
        <v>26</v>
      </c>
      <c r="H52" t="s">
        <v>27</v>
      </c>
      <c r="I52" t="s">
        <v>33</v>
      </c>
      <c r="J52" t="str">
        <f>H52&amp;"-"&amp;I52</f>
        <v>Coffee-QuickExtract</v>
      </c>
      <c r="K52" t="s">
        <v>29</v>
      </c>
      <c r="L52" t="s">
        <v>30</v>
      </c>
      <c r="M52" t="s">
        <v>31</v>
      </c>
      <c r="N52" t="s">
        <v>34</v>
      </c>
      <c r="O52" s="1">
        <v>0.98499999999999999</v>
      </c>
    </row>
    <row r="53" spans="1:15" x14ac:dyDescent="0.55000000000000004">
      <c r="A53" t="s">
        <v>99</v>
      </c>
      <c r="B53">
        <v>37</v>
      </c>
      <c r="C53">
        <v>2</v>
      </c>
      <c r="D53" t="s">
        <v>15</v>
      </c>
      <c r="E53" t="s">
        <v>16</v>
      </c>
      <c r="F53" t="s">
        <v>17</v>
      </c>
      <c r="G53" t="s">
        <v>100</v>
      </c>
      <c r="H53" t="s">
        <v>47</v>
      </c>
      <c r="I53" t="s">
        <v>47</v>
      </c>
      <c r="J53" t="str">
        <f>H53&amp;"-"&amp;I53</f>
        <v>Sylphium-Sylphium</v>
      </c>
      <c r="K53" t="s">
        <v>22</v>
      </c>
      <c r="L53" t="s">
        <v>23</v>
      </c>
      <c r="M53" t="s">
        <v>24</v>
      </c>
      <c r="N53" t="s">
        <v>100</v>
      </c>
      <c r="O53" s="1">
        <v>5.1499999999999997E-2</v>
      </c>
    </row>
    <row r="54" spans="1:15" x14ac:dyDescent="0.55000000000000004">
      <c r="A54" t="s">
        <v>108</v>
      </c>
      <c r="B54">
        <v>40</v>
      </c>
      <c r="C54">
        <v>2</v>
      </c>
      <c r="D54" t="s">
        <v>15</v>
      </c>
      <c r="E54" t="s">
        <v>16</v>
      </c>
      <c r="F54" t="s">
        <v>17</v>
      </c>
      <c r="G54" t="s">
        <v>36</v>
      </c>
      <c r="H54" t="s">
        <v>19</v>
      </c>
      <c r="I54" t="s">
        <v>20</v>
      </c>
      <c r="J54" t="str">
        <f>H54&amp;"-"&amp;I54</f>
        <v>Passive-Column</v>
      </c>
      <c r="K54" t="s">
        <v>29</v>
      </c>
      <c r="L54" t="s">
        <v>30</v>
      </c>
      <c r="M54" t="s">
        <v>31</v>
      </c>
      <c r="N54" t="s">
        <v>37</v>
      </c>
      <c r="O54" s="1">
        <v>9.6500000000000002E-2</v>
      </c>
    </row>
    <row r="55" spans="1:15" x14ac:dyDescent="0.55000000000000004">
      <c r="A55" t="s">
        <v>109</v>
      </c>
      <c r="B55">
        <v>41</v>
      </c>
      <c r="C55">
        <v>2</v>
      </c>
      <c r="D55" t="s">
        <v>15</v>
      </c>
      <c r="E55" t="s">
        <v>16</v>
      </c>
      <c r="F55" t="s">
        <v>17</v>
      </c>
      <c r="G55" t="s">
        <v>36</v>
      </c>
      <c r="H55" t="s">
        <v>19</v>
      </c>
      <c r="I55" t="s">
        <v>33</v>
      </c>
      <c r="J55" t="str">
        <f>H55&amp;"-"&amp;I55</f>
        <v>Passive-QuickExtract</v>
      </c>
      <c r="K55" t="s">
        <v>29</v>
      </c>
      <c r="L55" t="s">
        <v>30</v>
      </c>
      <c r="M55" t="s">
        <v>31</v>
      </c>
      <c r="N55" t="s">
        <v>39</v>
      </c>
      <c r="O55" s="1">
        <v>2.9000000000000001E-2</v>
      </c>
    </row>
    <row r="56" spans="1:15" x14ac:dyDescent="0.55000000000000004">
      <c r="A56" t="s">
        <v>110</v>
      </c>
      <c r="B56">
        <v>42</v>
      </c>
      <c r="C56">
        <v>2</v>
      </c>
      <c r="D56" t="s">
        <v>15</v>
      </c>
      <c r="E56" t="s">
        <v>16</v>
      </c>
      <c r="F56" t="s">
        <v>17</v>
      </c>
      <c r="G56" t="s">
        <v>41</v>
      </c>
      <c r="H56" t="s">
        <v>27</v>
      </c>
      <c r="I56" t="s">
        <v>20</v>
      </c>
      <c r="J56" t="str">
        <f>H56&amp;"-"&amp;I56</f>
        <v>Coffee-Column</v>
      </c>
      <c r="K56" t="s">
        <v>29</v>
      </c>
      <c r="L56" t="s">
        <v>30</v>
      </c>
      <c r="M56" t="s">
        <v>31</v>
      </c>
      <c r="N56" t="s">
        <v>42</v>
      </c>
      <c r="O56" s="1">
        <v>0.157</v>
      </c>
    </row>
    <row r="57" spans="1:15" x14ac:dyDescent="0.55000000000000004">
      <c r="A57" t="s">
        <v>111</v>
      </c>
      <c r="B57">
        <v>43</v>
      </c>
      <c r="C57">
        <v>2</v>
      </c>
      <c r="D57" t="s">
        <v>15</v>
      </c>
      <c r="E57" t="s">
        <v>16</v>
      </c>
      <c r="F57" t="s">
        <v>17</v>
      </c>
      <c r="G57" t="s">
        <v>41</v>
      </c>
      <c r="H57" t="s">
        <v>27</v>
      </c>
      <c r="I57" t="s">
        <v>33</v>
      </c>
      <c r="J57" t="str">
        <f>H57&amp;"-"&amp;I57</f>
        <v>Coffee-QuickExtract</v>
      </c>
      <c r="K57" t="s">
        <v>29</v>
      </c>
      <c r="L57" t="s">
        <v>30</v>
      </c>
      <c r="M57" t="s">
        <v>31</v>
      </c>
      <c r="N57" t="s">
        <v>44</v>
      </c>
      <c r="O57" s="1">
        <v>0.39800000000000002</v>
      </c>
    </row>
    <row r="58" spans="1:15" x14ac:dyDescent="0.55000000000000004">
      <c r="A58" t="s">
        <v>112</v>
      </c>
      <c r="B58">
        <v>44</v>
      </c>
      <c r="C58">
        <v>2</v>
      </c>
      <c r="D58" t="s">
        <v>15</v>
      </c>
      <c r="E58" t="s">
        <v>16</v>
      </c>
      <c r="F58" t="s">
        <v>17</v>
      </c>
      <c r="G58" t="s">
        <v>46</v>
      </c>
      <c r="H58" t="s">
        <v>47</v>
      </c>
      <c r="I58" t="s">
        <v>47</v>
      </c>
      <c r="J58" t="str">
        <f>H58&amp;"-"&amp;I58</f>
        <v>Sylphium-Sylphium</v>
      </c>
      <c r="K58" t="s">
        <v>22</v>
      </c>
      <c r="L58" t="s">
        <v>23</v>
      </c>
      <c r="M58" t="s">
        <v>24</v>
      </c>
      <c r="N58" t="s">
        <v>46</v>
      </c>
      <c r="O58" s="1">
        <v>4.1399999999999997</v>
      </c>
    </row>
    <row r="59" spans="1:15" x14ac:dyDescent="0.55000000000000004">
      <c r="A59" t="s">
        <v>113</v>
      </c>
      <c r="B59">
        <v>45</v>
      </c>
      <c r="C59">
        <v>2</v>
      </c>
      <c r="D59" t="s">
        <v>15</v>
      </c>
      <c r="E59" t="s">
        <v>16</v>
      </c>
      <c r="F59" t="s">
        <v>17</v>
      </c>
      <c r="G59" t="s">
        <v>49</v>
      </c>
      <c r="H59" t="s">
        <v>19</v>
      </c>
      <c r="I59" t="s">
        <v>20</v>
      </c>
      <c r="J59" t="str">
        <f>H59&amp;"-"&amp;I59</f>
        <v>Passive-Column</v>
      </c>
      <c r="K59" t="s">
        <v>29</v>
      </c>
      <c r="L59" t="s">
        <v>30</v>
      </c>
      <c r="M59" t="s">
        <v>31</v>
      </c>
      <c r="N59" t="s">
        <v>50</v>
      </c>
      <c r="O59" s="1">
        <v>0.17599999999999999</v>
      </c>
    </row>
    <row r="60" spans="1:15" x14ac:dyDescent="0.55000000000000004">
      <c r="A60" t="s">
        <v>114</v>
      </c>
      <c r="B60">
        <v>46</v>
      </c>
      <c r="C60">
        <v>2</v>
      </c>
      <c r="D60" t="s">
        <v>15</v>
      </c>
      <c r="E60" t="s">
        <v>16</v>
      </c>
      <c r="F60" t="s">
        <v>17</v>
      </c>
      <c r="G60" t="s">
        <v>49</v>
      </c>
      <c r="H60" t="s">
        <v>19</v>
      </c>
      <c r="I60" t="s">
        <v>33</v>
      </c>
      <c r="J60" t="str">
        <f>H60&amp;"-"&amp;I60</f>
        <v>Passive-QuickExtract</v>
      </c>
      <c r="K60" t="s">
        <v>29</v>
      </c>
      <c r="L60" t="s">
        <v>30</v>
      </c>
      <c r="M60" t="s">
        <v>31</v>
      </c>
      <c r="N60" t="s">
        <v>52</v>
      </c>
      <c r="O60" s="1">
        <v>3.15E-2</v>
      </c>
    </row>
    <row r="61" spans="1:15" x14ac:dyDescent="0.55000000000000004">
      <c r="A61" t="s">
        <v>115</v>
      </c>
      <c r="B61">
        <v>47</v>
      </c>
      <c r="C61">
        <v>2</v>
      </c>
      <c r="D61" t="s">
        <v>15</v>
      </c>
      <c r="E61" t="s">
        <v>16</v>
      </c>
      <c r="F61" t="s">
        <v>17</v>
      </c>
      <c r="G61" t="s">
        <v>54</v>
      </c>
      <c r="H61" t="s">
        <v>27</v>
      </c>
      <c r="I61" t="s">
        <v>20</v>
      </c>
      <c r="J61" t="str">
        <f>H61&amp;"-"&amp;I61</f>
        <v>Coffee-Column</v>
      </c>
      <c r="K61" t="s">
        <v>22</v>
      </c>
      <c r="L61" t="s">
        <v>23</v>
      </c>
      <c r="M61" t="s">
        <v>24</v>
      </c>
      <c r="N61" t="s">
        <v>55</v>
      </c>
      <c r="O61" s="1">
        <v>1.31</v>
      </c>
    </row>
    <row r="62" spans="1:15" x14ac:dyDescent="0.55000000000000004">
      <c r="A62" t="s">
        <v>116</v>
      </c>
      <c r="B62">
        <v>48</v>
      </c>
      <c r="C62">
        <v>2</v>
      </c>
      <c r="D62" t="s">
        <v>15</v>
      </c>
      <c r="E62" t="s">
        <v>16</v>
      </c>
      <c r="F62" t="s">
        <v>17</v>
      </c>
      <c r="G62" t="s">
        <v>57</v>
      </c>
      <c r="H62" t="s">
        <v>27</v>
      </c>
      <c r="I62" t="s">
        <v>33</v>
      </c>
      <c r="J62" t="str">
        <f>H62&amp;"-"&amp;I62</f>
        <v>Coffee-QuickExtract</v>
      </c>
      <c r="K62" t="s">
        <v>22</v>
      </c>
      <c r="L62" t="s">
        <v>23</v>
      </c>
      <c r="M62" t="s">
        <v>24</v>
      </c>
      <c r="N62" t="s">
        <v>58</v>
      </c>
      <c r="O62" s="1">
        <v>0.62</v>
      </c>
    </row>
    <row r="63" spans="1:15" x14ac:dyDescent="0.55000000000000004">
      <c r="A63" t="s">
        <v>117</v>
      </c>
      <c r="B63">
        <v>49</v>
      </c>
      <c r="C63">
        <v>2</v>
      </c>
      <c r="D63" t="s">
        <v>15</v>
      </c>
      <c r="E63" t="s">
        <v>16</v>
      </c>
      <c r="F63" t="s">
        <v>17</v>
      </c>
      <c r="G63" t="s">
        <v>60</v>
      </c>
      <c r="H63" t="s">
        <v>47</v>
      </c>
      <c r="I63" t="s">
        <v>47</v>
      </c>
      <c r="J63" t="str">
        <f>H63&amp;"-"&amp;I63</f>
        <v>Sylphium-Sylphium</v>
      </c>
      <c r="K63" t="s">
        <v>29</v>
      </c>
      <c r="L63" t="s">
        <v>30</v>
      </c>
      <c r="M63" t="s">
        <v>31</v>
      </c>
      <c r="N63" t="s">
        <v>60</v>
      </c>
      <c r="O63" s="1">
        <v>0.10100000000000001</v>
      </c>
    </row>
    <row r="64" spans="1:15" x14ac:dyDescent="0.55000000000000004">
      <c r="A64" t="s">
        <v>118</v>
      </c>
      <c r="B64">
        <v>50</v>
      </c>
      <c r="C64">
        <v>2</v>
      </c>
      <c r="D64" t="s">
        <v>15</v>
      </c>
      <c r="E64" t="s">
        <v>16</v>
      </c>
      <c r="F64" t="s">
        <v>17</v>
      </c>
      <c r="G64" t="s">
        <v>62</v>
      </c>
      <c r="H64" t="s">
        <v>19</v>
      </c>
      <c r="I64" t="s">
        <v>20</v>
      </c>
      <c r="J64" t="str">
        <f>H64&amp;"-"&amp;I64</f>
        <v>Passive-Column</v>
      </c>
      <c r="K64" t="s">
        <v>29</v>
      </c>
      <c r="L64" t="s">
        <v>30</v>
      </c>
      <c r="M64" t="s">
        <v>31</v>
      </c>
      <c r="N64" t="s">
        <v>63</v>
      </c>
      <c r="O64" s="1">
        <v>0.124</v>
      </c>
    </row>
    <row r="65" spans="1:15" x14ac:dyDescent="0.55000000000000004">
      <c r="A65" t="s">
        <v>119</v>
      </c>
      <c r="B65">
        <v>51</v>
      </c>
      <c r="C65">
        <v>2</v>
      </c>
      <c r="D65" t="s">
        <v>15</v>
      </c>
      <c r="E65" t="s">
        <v>16</v>
      </c>
      <c r="F65" t="s">
        <v>17</v>
      </c>
      <c r="G65" t="s">
        <v>62</v>
      </c>
      <c r="H65" t="s">
        <v>19</v>
      </c>
      <c r="I65" t="s">
        <v>33</v>
      </c>
      <c r="J65" t="str">
        <f>H65&amp;"-"&amp;I65</f>
        <v>Passive-QuickExtract</v>
      </c>
      <c r="K65" t="s">
        <v>29</v>
      </c>
      <c r="L65" t="s">
        <v>30</v>
      </c>
      <c r="M65" t="s">
        <v>31</v>
      </c>
      <c r="N65" t="s">
        <v>65</v>
      </c>
      <c r="O65" s="1">
        <v>2.6499999999999999E-2</v>
      </c>
    </row>
    <row r="66" spans="1:15" x14ac:dyDescent="0.55000000000000004">
      <c r="A66" t="s">
        <v>120</v>
      </c>
      <c r="B66">
        <v>52</v>
      </c>
      <c r="C66">
        <v>2</v>
      </c>
      <c r="D66" t="s">
        <v>15</v>
      </c>
      <c r="E66" t="s">
        <v>16</v>
      </c>
      <c r="F66" t="s">
        <v>17</v>
      </c>
      <c r="G66" t="s">
        <v>67</v>
      </c>
      <c r="H66" t="s">
        <v>27</v>
      </c>
      <c r="I66" t="s">
        <v>20</v>
      </c>
      <c r="J66" t="str">
        <f>H66&amp;"-"&amp;I66</f>
        <v>Coffee-Column</v>
      </c>
      <c r="K66" t="s">
        <v>22</v>
      </c>
      <c r="L66" t="s">
        <v>23</v>
      </c>
      <c r="M66" t="s">
        <v>24</v>
      </c>
      <c r="N66" t="s">
        <v>68</v>
      </c>
      <c r="O66" s="1">
        <v>2.84</v>
      </c>
    </row>
    <row r="67" spans="1:15" x14ac:dyDescent="0.55000000000000004">
      <c r="A67" t="s">
        <v>121</v>
      </c>
      <c r="B67">
        <v>53</v>
      </c>
      <c r="C67">
        <v>2</v>
      </c>
      <c r="D67" t="s">
        <v>15</v>
      </c>
      <c r="E67" t="s">
        <v>16</v>
      </c>
      <c r="F67" t="s">
        <v>17</v>
      </c>
      <c r="G67" t="s">
        <v>67</v>
      </c>
      <c r="H67" t="s">
        <v>27</v>
      </c>
      <c r="I67" t="s">
        <v>33</v>
      </c>
      <c r="J67" t="str">
        <f>H67&amp;"-"&amp;I67</f>
        <v>Coffee-QuickExtract</v>
      </c>
      <c r="K67" t="s">
        <v>22</v>
      </c>
      <c r="L67" t="s">
        <v>23</v>
      </c>
      <c r="M67" t="s">
        <v>24</v>
      </c>
      <c r="N67" t="s">
        <v>70</v>
      </c>
      <c r="O67" s="1">
        <v>0.439</v>
      </c>
    </row>
    <row r="68" spans="1:15" x14ac:dyDescent="0.55000000000000004">
      <c r="A68" t="s">
        <v>122</v>
      </c>
      <c r="B68">
        <v>54</v>
      </c>
      <c r="C68">
        <v>2</v>
      </c>
      <c r="D68" t="s">
        <v>15</v>
      </c>
      <c r="E68" t="s">
        <v>16</v>
      </c>
      <c r="F68" t="s">
        <v>17</v>
      </c>
      <c r="G68" t="s">
        <v>72</v>
      </c>
      <c r="H68" t="s">
        <v>47</v>
      </c>
      <c r="I68" t="s">
        <v>47</v>
      </c>
      <c r="J68" t="str">
        <f>H68&amp;"-"&amp;I68</f>
        <v>Sylphium-Sylphium</v>
      </c>
      <c r="K68" t="s">
        <v>29</v>
      </c>
      <c r="L68" t="s">
        <v>30</v>
      </c>
      <c r="M68" t="s">
        <v>31</v>
      </c>
      <c r="N68" t="s">
        <v>72</v>
      </c>
      <c r="O68" s="1">
        <v>2.06</v>
      </c>
    </row>
    <row r="69" spans="1:15" x14ac:dyDescent="0.55000000000000004">
      <c r="A69" t="s">
        <v>123</v>
      </c>
      <c r="B69">
        <v>55</v>
      </c>
      <c r="C69">
        <v>2</v>
      </c>
      <c r="D69" t="s">
        <v>15</v>
      </c>
      <c r="E69" t="s">
        <v>16</v>
      </c>
      <c r="F69" t="s">
        <v>17</v>
      </c>
      <c r="G69" t="s">
        <v>74</v>
      </c>
      <c r="H69" t="s">
        <v>19</v>
      </c>
      <c r="I69" t="s">
        <v>20</v>
      </c>
      <c r="J69" t="str">
        <f>H69&amp;"-"&amp;I69</f>
        <v>Passive-Column</v>
      </c>
      <c r="K69" t="s">
        <v>22</v>
      </c>
      <c r="L69" t="s">
        <v>23</v>
      </c>
      <c r="M69" t="s">
        <v>24</v>
      </c>
      <c r="N69" t="s">
        <v>75</v>
      </c>
      <c r="O69" s="1">
        <v>8.5999999999999993E-2</v>
      </c>
    </row>
    <row r="70" spans="1:15" x14ac:dyDescent="0.55000000000000004">
      <c r="A70" t="s">
        <v>124</v>
      </c>
      <c r="B70">
        <v>56</v>
      </c>
      <c r="C70">
        <v>2</v>
      </c>
      <c r="D70" t="s">
        <v>15</v>
      </c>
      <c r="E70" t="s">
        <v>16</v>
      </c>
      <c r="F70" t="s">
        <v>17</v>
      </c>
      <c r="G70" t="s">
        <v>77</v>
      </c>
      <c r="H70" t="s">
        <v>19</v>
      </c>
      <c r="I70" t="s">
        <v>33</v>
      </c>
      <c r="J70" t="str">
        <f>H70&amp;"-"&amp;I70</f>
        <v>Passive-QuickExtract</v>
      </c>
      <c r="K70" t="s">
        <v>22</v>
      </c>
      <c r="L70" t="s">
        <v>23</v>
      </c>
      <c r="M70" t="s">
        <v>24</v>
      </c>
      <c r="N70" t="s">
        <v>78</v>
      </c>
      <c r="O70" s="1">
        <v>4.4999999999999998E-2</v>
      </c>
    </row>
    <row r="71" spans="1:15" x14ac:dyDescent="0.55000000000000004">
      <c r="A71" t="s">
        <v>125</v>
      </c>
      <c r="B71">
        <v>57</v>
      </c>
      <c r="C71">
        <v>2</v>
      </c>
      <c r="D71" t="s">
        <v>15</v>
      </c>
      <c r="E71" t="s">
        <v>16</v>
      </c>
      <c r="F71" t="s">
        <v>17</v>
      </c>
      <c r="G71" t="s">
        <v>80</v>
      </c>
      <c r="H71" t="s">
        <v>27</v>
      </c>
      <c r="I71" t="s">
        <v>20</v>
      </c>
      <c r="J71" t="str">
        <f>H71&amp;"-"&amp;I71</f>
        <v>Coffee-Column</v>
      </c>
      <c r="K71" t="s">
        <v>29</v>
      </c>
      <c r="L71" t="s">
        <v>30</v>
      </c>
      <c r="M71" t="s">
        <v>31</v>
      </c>
      <c r="N71" t="s">
        <v>81</v>
      </c>
      <c r="O71" s="1">
        <v>0.53500000000000003</v>
      </c>
    </row>
    <row r="72" spans="1:15" x14ac:dyDescent="0.55000000000000004">
      <c r="A72" t="s">
        <v>126</v>
      </c>
      <c r="B72">
        <v>58</v>
      </c>
      <c r="C72">
        <v>2</v>
      </c>
      <c r="D72" t="s">
        <v>15</v>
      </c>
      <c r="E72" t="s">
        <v>16</v>
      </c>
      <c r="F72" t="s">
        <v>17</v>
      </c>
      <c r="G72" t="s">
        <v>80</v>
      </c>
      <c r="H72" t="s">
        <v>27</v>
      </c>
      <c r="I72" t="s">
        <v>33</v>
      </c>
      <c r="J72" t="str">
        <f>H72&amp;"-"&amp;I72</f>
        <v>Coffee-QuickExtract</v>
      </c>
      <c r="K72" t="s">
        <v>29</v>
      </c>
      <c r="L72" t="s">
        <v>30</v>
      </c>
      <c r="M72" t="s">
        <v>31</v>
      </c>
      <c r="N72" t="s">
        <v>83</v>
      </c>
      <c r="O72" s="1">
        <v>0.505</v>
      </c>
    </row>
    <row r="73" spans="1:15" x14ac:dyDescent="0.55000000000000004">
      <c r="A73" t="s">
        <v>127</v>
      </c>
      <c r="B73">
        <v>59</v>
      </c>
      <c r="C73">
        <v>2</v>
      </c>
      <c r="D73" t="s">
        <v>15</v>
      </c>
      <c r="E73" t="s">
        <v>16</v>
      </c>
      <c r="F73" t="s">
        <v>17</v>
      </c>
      <c r="G73" t="s">
        <v>85</v>
      </c>
      <c r="H73" t="s">
        <v>47</v>
      </c>
      <c r="I73" t="s">
        <v>47</v>
      </c>
      <c r="J73" t="str">
        <f>H73&amp;"-"&amp;I73</f>
        <v>Sylphium-Sylphium</v>
      </c>
      <c r="K73" t="s">
        <v>22</v>
      </c>
      <c r="L73" t="s">
        <v>23</v>
      </c>
      <c r="M73" t="s">
        <v>24</v>
      </c>
      <c r="N73" t="s">
        <v>85</v>
      </c>
      <c r="O73" s="1">
        <v>0.875</v>
      </c>
    </row>
    <row r="74" spans="1:15" x14ac:dyDescent="0.55000000000000004">
      <c r="A74" t="s">
        <v>128</v>
      </c>
      <c r="B74">
        <v>60</v>
      </c>
      <c r="C74">
        <v>2</v>
      </c>
      <c r="D74" t="s">
        <v>15</v>
      </c>
      <c r="E74" t="s">
        <v>16</v>
      </c>
      <c r="F74" t="s">
        <v>17</v>
      </c>
      <c r="G74" t="s">
        <v>87</v>
      </c>
      <c r="H74" t="s">
        <v>19</v>
      </c>
      <c r="I74" t="s">
        <v>20</v>
      </c>
      <c r="J74" t="str">
        <f>H74&amp;"-"&amp;I74</f>
        <v>Passive-Column</v>
      </c>
      <c r="K74" t="s">
        <v>22</v>
      </c>
      <c r="L74" t="s">
        <v>23</v>
      </c>
      <c r="M74" t="s">
        <v>24</v>
      </c>
      <c r="N74" t="s">
        <v>88</v>
      </c>
      <c r="O74" s="1">
        <v>0.10100000000000001</v>
      </c>
    </row>
    <row r="75" spans="1:15" x14ac:dyDescent="0.55000000000000004">
      <c r="A75" t="s">
        <v>129</v>
      </c>
      <c r="B75">
        <v>61</v>
      </c>
      <c r="C75">
        <v>2</v>
      </c>
      <c r="D75" t="s">
        <v>15</v>
      </c>
      <c r="E75" t="s">
        <v>16</v>
      </c>
      <c r="F75" t="s">
        <v>17</v>
      </c>
      <c r="G75" t="s">
        <v>87</v>
      </c>
      <c r="H75" t="s">
        <v>19</v>
      </c>
      <c r="I75" t="s">
        <v>33</v>
      </c>
      <c r="J75" t="str">
        <f>H75&amp;"-"&amp;I75</f>
        <v>Passive-QuickExtract</v>
      </c>
      <c r="K75" t="s">
        <v>22</v>
      </c>
      <c r="L75" t="s">
        <v>23</v>
      </c>
      <c r="M75" t="s">
        <v>24</v>
      </c>
      <c r="N75" t="s">
        <v>130</v>
      </c>
      <c r="O75" s="1">
        <v>3.7999999999999999E-2</v>
      </c>
    </row>
    <row r="76" spans="1:15" x14ac:dyDescent="0.55000000000000004">
      <c r="A76" t="s">
        <v>131</v>
      </c>
      <c r="B76">
        <v>62</v>
      </c>
      <c r="C76">
        <v>2</v>
      </c>
      <c r="D76" t="s">
        <v>15</v>
      </c>
      <c r="E76" t="s">
        <v>16</v>
      </c>
      <c r="F76" t="s">
        <v>17</v>
      </c>
      <c r="G76" t="s">
        <v>90</v>
      </c>
      <c r="H76" t="s">
        <v>27</v>
      </c>
      <c r="I76" t="s">
        <v>20</v>
      </c>
      <c r="J76" t="str">
        <f>H76&amp;"-"&amp;I76</f>
        <v>Coffee-Column</v>
      </c>
      <c r="K76" t="s">
        <v>22</v>
      </c>
      <c r="L76" t="s">
        <v>23</v>
      </c>
      <c r="M76" t="s">
        <v>24</v>
      </c>
      <c r="N76" t="s">
        <v>91</v>
      </c>
      <c r="O76" s="1">
        <v>0.88</v>
      </c>
    </row>
    <row r="77" spans="1:15" x14ac:dyDescent="0.55000000000000004">
      <c r="A77" t="s">
        <v>132</v>
      </c>
      <c r="B77">
        <v>63</v>
      </c>
      <c r="C77">
        <v>2</v>
      </c>
      <c r="D77" t="s">
        <v>15</v>
      </c>
      <c r="E77" t="s">
        <v>16</v>
      </c>
      <c r="F77" t="s">
        <v>17</v>
      </c>
      <c r="G77" t="s">
        <v>90</v>
      </c>
      <c r="H77" t="s">
        <v>27</v>
      </c>
      <c r="I77" t="s">
        <v>33</v>
      </c>
      <c r="J77" t="str">
        <f>H77&amp;"-"&amp;I77</f>
        <v>Coffee-QuickExtract</v>
      </c>
      <c r="K77" t="s">
        <v>22</v>
      </c>
      <c r="L77" t="s">
        <v>23</v>
      </c>
      <c r="M77" t="s">
        <v>24</v>
      </c>
      <c r="N77" t="s">
        <v>93</v>
      </c>
      <c r="O77" s="1">
        <v>0.53500000000000003</v>
      </c>
    </row>
    <row r="78" spans="1:15" x14ac:dyDescent="0.55000000000000004">
      <c r="A78" t="s">
        <v>147</v>
      </c>
      <c r="B78">
        <v>8</v>
      </c>
      <c r="C78">
        <v>4</v>
      </c>
      <c r="D78" t="s">
        <v>15</v>
      </c>
      <c r="E78" t="s">
        <v>16</v>
      </c>
      <c r="F78" t="s">
        <v>17</v>
      </c>
      <c r="G78" t="s">
        <v>148</v>
      </c>
      <c r="H78" t="s">
        <v>149</v>
      </c>
      <c r="I78" t="s">
        <v>20</v>
      </c>
      <c r="J78" t="str">
        <f>H78&amp;"-"&amp;I78</f>
        <v>Torpedo-Column</v>
      </c>
      <c r="K78" t="s">
        <v>150</v>
      </c>
      <c r="L78" t="s">
        <v>151</v>
      </c>
      <c r="M78" t="s">
        <v>152</v>
      </c>
      <c r="N78" t="s">
        <v>148</v>
      </c>
      <c r="O78" s="1">
        <v>0.12</v>
      </c>
    </row>
    <row r="79" spans="1:15" x14ac:dyDescent="0.55000000000000004">
      <c r="A79" t="s">
        <v>153</v>
      </c>
      <c r="B79">
        <v>9</v>
      </c>
      <c r="C79">
        <v>4</v>
      </c>
      <c r="D79" t="s">
        <v>15</v>
      </c>
      <c r="E79" t="s">
        <v>16</v>
      </c>
      <c r="F79" t="s">
        <v>17</v>
      </c>
      <c r="G79" t="s">
        <v>154</v>
      </c>
      <c r="H79" t="s">
        <v>149</v>
      </c>
      <c r="I79" t="s">
        <v>33</v>
      </c>
      <c r="J79" t="str">
        <f>H79&amp;"-"&amp;I79</f>
        <v>Torpedo-QuickExtract</v>
      </c>
      <c r="K79" t="s">
        <v>150</v>
      </c>
      <c r="L79" t="s">
        <v>151</v>
      </c>
      <c r="M79" t="s">
        <v>152</v>
      </c>
      <c r="N79" t="s">
        <v>154</v>
      </c>
      <c r="O79" s="1">
        <v>0.109</v>
      </c>
    </row>
    <row r="80" spans="1:15" x14ac:dyDescent="0.55000000000000004">
      <c r="A80" t="s">
        <v>155</v>
      </c>
      <c r="B80">
        <v>10</v>
      </c>
      <c r="C80">
        <v>4</v>
      </c>
      <c r="D80" t="s">
        <v>15</v>
      </c>
      <c r="E80" t="s">
        <v>16</v>
      </c>
      <c r="F80" t="s">
        <v>17</v>
      </c>
      <c r="G80" t="s">
        <v>156</v>
      </c>
      <c r="H80" t="s">
        <v>149</v>
      </c>
      <c r="I80" t="s">
        <v>20</v>
      </c>
      <c r="J80" t="str">
        <f>H80&amp;"-"&amp;I80</f>
        <v>Torpedo-Column</v>
      </c>
      <c r="K80" t="s">
        <v>150</v>
      </c>
      <c r="L80" t="s">
        <v>151</v>
      </c>
      <c r="M80" t="s">
        <v>152</v>
      </c>
      <c r="N80" t="s">
        <v>156</v>
      </c>
      <c r="O80" s="1">
        <v>0.18</v>
      </c>
    </row>
    <row r="81" spans="1:15" x14ac:dyDescent="0.55000000000000004">
      <c r="A81" t="s">
        <v>157</v>
      </c>
      <c r="B81">
        <v>11</v>
      </c>
      <c r="C81">
        <v>4</v>
      </c>
      <c r="D81" t="s">
        <v>15</v>
      </c>
      <c r="E81" t="s">
        <v>16</v>
      </c>
      <c r="F81" t="s">
        <v>17</v>
      </c>
      <c r="G81" t="s">
        <v>158</v>
      </c>
      <c r="H81" t="s">
        <v>149</v>
      </c>
      <c r="I81" t="s">
        <v>33</v>
      </c>
      <c r="J81" t="str">
        <f>H81&amp;"-"&amp;I81</f>
        <v>Torpedo-QuickExtract</v>
      </c>
      <c r="K81" t="s">
        <v>150</v>
      </c>
      <c r="L81" t="s">
        <v>151</v>
      </c>
      <c r="M81" t="s">
        <v>152</v>
      </c>
      <c r="N81" t="s">
        <v>158</v>
      </c>
      <c r="O81" s="1">
        <v>9.1999999999999998E-2</v>
      </c>
    </row>
    <row r="82" spans="1:15" x14ac:dyDescent="0.55000000000000004">
      <c r="A82" t="s">
        <v>159</v>
      </c>
      <c r="B82">
        <v>12</v>
      </c>
      <c r="C82">
        <v>4</v>
      </c>
      <c r="D82" t="s">
        <v>15</v>
      </c>
      <c r="E82" t="s">
        <v>16</v>
      </c>
      <c r="F82" t="s">
        <v>17</v>
      </c>
      <c r="G82" t="s">
        <v>160</v>
      </c>
      <c r="H82" t="s">
        <v>149</v>
      </c>
      <c r="I82" t="s">
        <v>20</v>
      </c>
      <c r="J82" t="str">
        <f>H82&amp;"-"&amp;I82</f>
        <v>Torpedo-Column</v>
      </c>
      <c r="K82" t="s">
        <v>150</v>
      </c>
      <c r="L82" t="s">
        <v>151</v>
      </c>
      <c r="M82" t="s">
        <v>152</v>
      </c>
      <c r="N82" t="s">
        <v>160</v>
      </c>
      <c r="O82" s="1">
        <v>1E-3</v>
      </c>
    </row>
    <row r="83" spans="1:15" x14ac:dyDescent="0.55000000000000004">
      <c r="A83" t="s">
        <v>161</v>
      </c>
      <c r="B83">
        <v>13</v>
      </c>
      <c r="C83">
        <v>4</v>
      </c>
      <c r="D83" t="s">
        <v>15</v>
      </c>
      <c r="E83" t="s">
        <v>16</v>
      </c>
      <c r="F83" t="s">
        <v>17</v>
      </c>
      <c r="G83" t="s">
        <v>162</v>
      </c>
      <c r="H83" t="s">
        <v>149</v>
      </c>
      <c r="I83" t="s">
        <v>33</v>
      </c>
      <c r="J83" t="str">
        <f>H83&amp;"-"&amp;I83</f>
        <v>Torpedo-QuickExtract</v>
      </c>
      <c r="K83" t="s">
        <v>150</v>
      </c>
      <c r="L83" t="s">
        <v>151</v>
      </c>
      <c r="M83" t="s">
        <v>152</v>
      </c>
      <c r="N83" t="s">
        <v>162</v>
      </c>
      <c r="O83" s="1">
        <v>6.4000000000000001E-2</v>
      </c>
    </row>
    <row r="84" spans="1:15" x14ac:dyDescent="0.55000000000000004">
      <c r="A84" t="s">
        <v>163</v>
      </c>
      <c r="B84">
        <v>14</v>
      </c>
      <c r="C84">
        <v>4</v>
      </c>
      <c r="D84" t="s">
        <v>15</v>
      </c>
      <c r="E84" t="s">
        <v>16</v>
      </c>
      <c r="F84" t="s">
        <v>17</v>
      </c>
      <c r="G84" t="s">
        <v>164</v>
      </c>
      <c r="H84" t="s">
        <v>149</v>
      </c>
      <c r="I84" t="s">
        <v>20</v>
      </c>
      <c r="J84" t="str">
        <f>H84&amp;"-"&amp;I84</f>
        <v>Torpedo-Column</v>
      </c>
      <c r="K84" t="s">
        <v>150</v>
      </c>
      <c r="L84" t="s">
        <v>151</v>
      </c>
      <c r="M84" t="s">
        <v>152</v>
      </c>
      <c r="N84" t="s">
        <v>164</v>
      </c>
      <c r="O84" s="1">
        <v>0.129</v>
      </c>
    </row>
    <row r="85" spans="1:15" x14ac:dyDescent="0.55000000000000004">
      <c r="A85" t="s">
        <v>165</v>
      </c>
      <c r="B85">
        <v>15</v>
      </c>
      <c r="C85">
        <v>4</v>
      </c>
      <c r="D85" t="s">
        <v>15</v>
      </c>
      <c r="E85" t="s">
        <v>16</v>
      </c>
      <c r="F85" t="s">
        <v>17</v>
      </c>
      <c r="G85" t="s">
        <v>166</v>
      </c>
      <c r="H85" t="s">
        <v>149</v>
      </c>
      <c r="I85" t="s">
        <v>33</v>
      </c>
      <c r="J85" t="str">
        <f>H85&amp;"-"&amp;I85</f>
        <v>Torpedo-QuickExtract</v>
      </c>
      <c r="K85" t="s">
        <v>150</v>
      </c>
      <c r="L85" t="s">
        <v>151</v>
      </c>
      <c r="M85" t="s">
        <v>152</v>
      </c>
      <c r="N85" t="s">
        <v>166</v>
      </c>
      <c r="O85" s="1">
        <v>7.7499999999999999E-2</v>
      </c>
    </row>
    <row r="86" spans="1:15" x14ac:dyDescent="0.55000000000000004">
      <c r="A86" t="s">
        <v>167</v>
      </c>
      <c r="B86">
        <v>16</v>
      </c>
      <c r="C86">
        <v>4</v>
      </c>
      <c r="D86" t="s">
        <v>15</v>
      </c>
      <c r="E86" t="s">
        <v>16</v>
      </c>
      <c r="F86" t="s">
        <v>17</v>
      </c>
      <c r="G86" t="s">
        <v>168</v>
      </c>
      <c r="H86" t="s">
        <v>149</v>
      </c>
      <c r="I86" t="s">
        <v>20</v>
      </c>
      <c r="J86" t="str">
        <f>H86&amp;"-"&amp;I86</f>
        <v>Torpedo-Column</v>
      </c>
      <c r="K86" t="s">
        <v>150</v>
      </c>
      <c r="L86" t="s">
        <v>151</v>
      </c>
      <c r="M86" t="s">
        <v>152</v>
      </c>
      <c r="N86" t="s">
        <v>168</v>
      </c>
      <c r="O86" s="1">
        <v>9.5000000000000001E-2</v>
      </c>
    </row>
    <row r="87" spans="1:15" x14ac:dyDescent="0.55000000000000004">
      <c r="A87" t="s">
        <v>169</v>
      </c>
      <c r="B87">
        <v>17</v>
      </c>
      <c r="C87">
        <v>4</v>
      </c>
      <c r="D87" t="s">
        <v>15</v>
      </c>
      <c r="E87" t="s">
        <v>16</v>
      </c>
      <c r="F87" t="s">
        <v>17</v>
      </c>
      <c r="G87" t="s">
        <v>170</v>
      </c>
      <c r="H87" t="s">
        <v>149</v>
      </c>
      <c r="I87" t="s">
        <v>33</v>
      </c>
      <c r="J87" t="str">
        <f>H87&amp;"-"&amp;I87</f>
        <v>Torpedo-QuickExtract</v>
      </c>
      <c r="K87" t="s">
        <v>150</v>
      </c>
      <c r="L87" t="s">
        <v>151</v>
      </c>
      <c r="M87" t="s">
        <v>152</v>
      </c>
      <c r="N87" t="s">
        <v>170</v>
      </c>
      <c r="O87" s="1">
        <v>0.11600000000000001</v>
      </c>
    </row>
    <row r="88" spans="1:15" x14ac:dyDescent="0.55000000000000004">
      <c r="A88" t="s">
        <v>171</v>
      </c>
      <c r="B88">
        <v>18</v>
      </c>
      <c r="C88">
        <v>4</v>
      </c>
      <c r="D88" t="s">
        <v>15</v>
      </c>
      <c r="E88" t="s">
        <v>16</v>
      </c>
      <c r="F88" t="s">
        <v>17</v>
      </c>
      <c r="G88" t="s">
        <v>172</v>
      </c>
      <c r="H88" t="s">
        <v>149</v>
      </c>
      <c r="I88" t="s">
        <v>20</v>
      </c>
      <c r="J88" t="str">
        <f>H88&amp;"-"&amp;I88</f>
        <v>Torpedo-Column</v>
      </c>
      <c r="K88" t="s">
        <v>150</v>
      </c>
      <c r="L88" t="s">
        <v>151</v>
      </c>
      <c r="M88" t="s">
        <v>152</v>
      </c>
      <c r="N88" t="s">
        <v>172</v>
      </c>
      <c r="O88" s="1">
        <v>2.8500000000000001E-2</v>
      </c>
    </row>
    <row r="89" spans="1:15" x14ac:dyDescent="0.55000000000000004">
      <c r="A89" t="s">
        <v>173</v>
      </c>
      <c r="B89">
        <v>19</v>
      </c>
      <c r="C89">
        <v>4</v>
      </c>
      <c r="D89" t="s">
        <v>15</v>
      </c>
      <c r="E89" t="s">
        <v>16</v>
      </c>
      <c r="F89" t="s">
        <v>17</v>
      </c>
      <c r="G89" t="s">
        <v>174</v>
      </c>
      <c r="H89" t="s">
        <v>149</v>
      </c>
      <c r="I89" t="s">
        <v>33</v>
      </c>
      <c r="J89" t="str">
        <f>H89&amp;"-"&amp;I89</f>
        <v>Torpedo-QuickExtract</v>
      </c>
      <c r="K89" t="s">
        <v>150</v>
      </c>
      <c r="L89" t="s">
        <v>151</v>
      </c>
      <c r="M89" t="s">
        <v>152</v>
      </c>
      <c r="N89" t="s">
        <v>174</v>
      </c>
      <c r="O89" s="1">
        <v>9.9500000000000005E-2</v>
      </c>
    </row>
    <row r="90" spans="1:15" x14ac:dyDescent="0.55000000000000004">
      <c r="A90" t="s">
        <v>175</v>
      </c>
      <c r="B90">
        <v>20</v>
      </c>
      <c r="C90">
        <v>4</v>
      </c>
      <c r="D90" t="s">
        <v>15</v>
      </c>
      <c r="E90" t="s">
        <v>16</v>
      </c>
      <c r="F90" t="s">
        <v>17</v>
      </c>
      <c r="G90" t="s">
        <v>176</v>
      </c>
      <c r="H90" t="s">
        <v>19</v>
      </c>
      <c r="I90" t="s">
        <v>20</v>
      </c>
      <c r="J90" t="str">
        <f>H90&amp;"-"&amp;I90</f>
        <v>Passive-Column</v>
      </c>
      <c r="K90" t="s">
        <v>150</v>
      </c>
      <c r="L90" t="s">
        <v>151</v>
      </c>
      <c r="M90" t="s">
        <v>152</v>
      </c>
      <c r="N90" t="s">
        <v>176</v>
      </c>
      <c r="O90" s="1">
        <v>0.28899999999999998</v>
      </c>
    </row>
    <row r="91" spans="1:15" x14ac:dyDescent="0.55000000000000004">
      <c r="A91" t="s">
        <v>177</v>
      </c>
      <c r="B91">
        <v>21</v>
      </c>
      <c r="C91">
        <v>4</v>
      </c>
      <c r="D91" t="s">
        <v>15</v>
      </c>
      <c r="E91" t="s">
        <v>16</v>
      </c>
      <c r="F91" t="s">
        <v>17</v>
      </c>
      <c r="G91" t="s">
        <v>178</v>
      </c>
      <c r="H91" t="s">
        <v>19</v>
      </c>
      <c r="I91" t="s">
        <v>33</v>
      </c>
      <c r="J91" t="str">
        <f>H91&amp;"-"&amp;I91</f>
        <v>Passive-QuickExtract</v>
      </c>
      <c r="K91" t="s">
        <v>150</v>
      </c>
      <c r="L91" t="s">
        <v>151</v>
      </c>
      <c r="M91" t="s">
        <v>152</v>
      </c>
      <c r="N91" t="s">
        <v>178</v>
      </c>
      <c r="O91" s="1">
        <v>0.17499999999999999</v>
      </c>
    </row>
    <row r="92" spans="1:15" x14ac:dyDescent="0.55000000000000004">
      <c r="A92" t="s">
        <v>179</v>
      </c>
      <c r="B92">
        <v>22</v>
      </c>
      <c r="C92">
        <v>4</v>
      </c>
      <c r="D92" t="s">
        <v>15</v>
      </c>
      <c r="E92" t="s">
        <v>16</v>
      </c>
      <c r="F92" t="s">
        <v>17</v>
      </c>
      <c r="G92" t="s">
        <v>180</v>
      </c>
      <c r="H92" t="s">
        <v>19</v>
      </c>
      <c r="I92" t="s">
        <v>20</v>
      </c>
      <c r="J92" t="str">
        <f>H92&amp;"-"&amp;I92</f>
        <v>Passive-Column</v>
      </c>
      <c r="K92" t="s">
        <v>150</v>
      </c>
      <c r="L92" t="s">
        <v>151</v>
      </c>
      <c r="M92" t="s">
        <v>152</v>
      </c>
      <c r="N92" t="s">
        <v>180</v>
      </c>
      <c r="O92" s="1">
        <v>1E-3</v>
      </c>
    </row>
    <row r="93" spans="1:15" x14ac:dyDescent="0.55000000000000004">
      <c r="A93" t="s">
        <v>181</v>
      </c>
      <c r="B93">
        <v>23</v>
      </c>
      <c r="C93">
        <v>4</v>
      </c>
      <c r="D93" t="s">
        <v>15</v>
      </c>
      <c r="E93" t="s">
        <v>16</v>
      </c>
      <c r="F93" t="s">
        <v>17</v>
      </c>
      <c r="G93" t="s">
        <v>182</v>
      </c>
      <c r="H93" t="s">
        <v>19</v>
      </c>
      <c r="I93" t="s">
        <v>33</v>
      </c>
      <c r="J93" t="str">
        <f>H93&amp;"-"&amp;I93</f>
        <v>Passive-QuickExtract</v>
      </c>
      <c r="K93" t="s">
        <v>150</v>
      </c>
      <c r="L93" t="s">
        <v>151</v>
      </c>
      <c r="M93" t="s">
        <v>152</v>
      </c>
      <c r="N93" t="s">
        <v>182</v>
      </c>
      <c r="O93" s="1">
        <v>1E-3</v>
      </c>
    </row>
    <row r="94" spans="1:15" x14ac:dyDescent="0.55000000000000004">
      <c r="A94" t="s">
        <v>183</v>
      </c>
      <c r="B94">
        <v>24</v>
      </c>
      <c r="C94">
        <v>4</v>
      </c>
      <c r="D94" t="s">
        <v>15</v>
      </c>
      <c r="E94" t="s">
        <v>16</v>
      </c>
      <c r="F94" t="s">
        <v>17</v>
      </c>
      <c r="G94" t="s">
        <v>184</v>
      </c>
      <c r="H94" t="s">
        <v>19</v>
      </c>
      <c r="I94" t="s">
        <v>20</v>
      </c>
      <c r="J94" t="str">
        <f>H94&amp;"-"&amp;I94</f>
        <v>Passive-Column</v>
      </c>
      <c r="K94" t="s">
        <v>150</v>
      </c>
      <c r="L94" t="s">
        <v>151</v>
      </c>
      <c r="M94" t="s">
        <v>152</v>
      </c>
      <c r="N94" t="s">
        <v>184</v>
      </c>
      <c r="O94" s="1">
        <v>0.14699999999999999</v>
      </c>
    </row>
    <row r="95" spans="1:15" x14ac:dyDescent="0.55000000000000004">
      <c r="A95" t="s">
        <v>185</v>
      </c>
      <c r="B95">
        <v>25</v>
      </c>
      <c r="C95">
        <v>4</v>
      </c>
      <c r="D95" t="s">
        <v>15</v>
      </c>
      <c r="E95" t="s">
        <v>16</v>
      </c>
      <c r="F95" t="s">
        <v>17</v>
      </c>
      <c r="G95" t="s">
        <v>186</v>
      </c>
      <c r="H95" t="s">
        <v>19</v>
      </c>
      <c r="I95" t="s">
        <v>33</v>
      </c>
      <c r="J95" t="str">
        <f>H95&amp;"-"&amp;I95</f>
        <v>Passive-QuickExtract</v>
      </c>
      <c r="K95" t="s">
        <v>150</v>
      </c>
      <c r="L95" t="s">
        <v>151</v>
      </c>
      <c r="M95" t="s">
        <v>152</v>
      </c>
      <c r="N95" t="s">
        <v>186</v>
      </c>
      <c r="O95" s="1">
        <v>5.3499999999999999E-2</v>
      </c>
    </row>
    <row r="96" spans="1:15" x14ac:dyDescent="0.55000000000000004">
      <c r="A96" t="s">
        <v>187</v>
      </c>
      <c r="B96">
        <v>26</v>
      </c>
      <c r="C96">
        <v>4</v>
      </c>
      <c r="D96" t="s">
        <v>15</v>
      </c>
      <c r="E96" t="s">
        <v>16</v>
      </c>
      <c r="F96" t="s">
        <v>17</v>
      </c>
      <c r="G96" t="s">
        <v>188</v>
      </c>
      <c r="H96" t="s">
        <v>19</v>
      </c>
      <c r="I96" t="s">
        <v>20</v>
      </c>
      <c r="J96" t="str">
        <f>H96&amp;"-"&amp;I96</f>
        <v>Passive-Column</v>
      </c>
      <c r="K96" t="s">
        <v>150</v>
      </c>
      <c r="L96" t="s">
        <v>151</v>
      </c>
      <c r="M96" t="s">
        <v>152</v>
      </c>
      <c r="N96" t="s">
        <v>188</v>
      </c>
      <c r="O96" s="1">
        <v>0.17</v>
      </c>
    </row>
    <row r="97" spans="1:15" x14ac:dyDescent="0.55000000000000004">
      <c r="A97" t="s">
        <v>189</v>
      </c>
      <c r="B97">
        <v>27</v>
      </c>
      <c r="C97">
        <v>4</v>
      </c>
      <c r="D97" t="s">
        <v>15</v>
      </c>
      <c r="E97" t="s">
        <v>16</v>
      </c>
      <c r="F97" t="s">
        <v>17</v>
      </c>
      <c r="G97" t="s">
        <v>190</v>
      </c>
      <c r="H97" t="s">
        <v>19</v>
      </c>
      <c r="I97" t="s">
        <v>33</v>
      </c>
      <c r="J97" t="str">
        <f>H97&amp;"-"&amp;I97</f>
        <v>Passive-QuickExtract</v>
      </c>
      <c r="K97" t="s">
        <v>150</v>
      </c>
      <c r="L97" t="s">
        <v>151</v>
      </c>
      <c r="M97" t="s">
        <v>152</v>
      </c>
      <c r="N97" t="s">
        <v>190</v>
      </c>
      <c r="O97" s="1">
        <v>8.7499999999999994E-2</v>
      </c>
    </row>
    <row r="98" spans="1:15" x14ac:dyDescent="0.55000000000000004">
      <c r="A98" t="s">
        <v>191</v>
      </c>
      <c r="B98">
        <v>28</v>
      </c>
      <c r="C98">
        <v>4</v>
      </c>
      <c r="D98" t="s">
        <v>15</v>
      </c>
      <c r="E98" t="s">
        <v>16</v>
      </c>
      <c r="F98" t="s">
        <v>17</v>
      </c>
      <c r="G98" t="s">
        <v>192</v>
      </c>
      <c r="H98" t="s">
        <v>19</v>
      </c>
      <c r="I98" t="s">
        <v>20</v>
      </c>
      <c r="J98" t="str">
        <f>H98&amp;"-"&amp;I98</f>
        <v>Passive-Column</v>
      </c>
      <c r="K98" t="s">
        <v>150</v>
      </c>
      <c r="L98" t="s">
        <v>151</v>
      </c>
      <c r="M98" t="s">
        <v>152</v>
      </c>
      <c r="N98" t="s">
        <v>192</v>
      </c>
      <c r="O98" s="1">
        <v>0.17599999999999999</v>
      </c>
    </row>
    <row r="99" spans="1:15" x14ac:dyDescent="0.55000000000000004">
      <c r="A99" t="s">
        <v>193</v>
      </c>
      <c r="B99">
        <v>29</v>
      </c>
      <c r="C99">
        <v>4</v>
      </c>
      <c r="D99" t="s">
        <v>15</v>
      </c>
      <c r="E99" t="s">
        <v>16</v>
      </c>
      <c r="F99" t="s">
        <v>17</v>
      </c>
      <c r="G99" t="s">
        <v>194</v>
      </c>
      <c r="H99" t="s">
        <v>19</v>
      </c>
      <c r="I99" t="s">
        <v>33</v>
      </c>
      <c r="J99" t="str">
        <f>H99&amp;"-"&amp;I99</f>
        <v>Passive-QuickExtract</v>
      </c>
      <c r="K99" t="s">
        <v>150</v>
      </c>
      <c r="L99" t="s">
        <v>151</v>
      </c>
      <c r="M99" t="s">
        <v>152</v>
      </c>
      <c r="N99" t="s">
        <v>194</v>
      </c>
      <c r="O99" s="1">
        <v>5.5E-2</v>
      </c>
    </row>
    <row r="100" spans="1:15" x14ac:dyDescent="0.55000000000000004">
      <c r="A100" t="s">
        <v>195</v>
      </c>
      <c r="B100">
        <v>30</v>
      </c>
      <c r="C100">
        <v>4</v>
      </c>
      <c r="D100" t="s">
        <v>15</v>
      </c>
      <c r="E100" t="s">
        <v>16</v>
      </c>
      <c r="F100" t="s">
        <v>17</v>
      </c>
      <c r="G100" t="s">
        <v>196</v>
      </c>
      <c r="H100" t="s">
        <v>19</v>
      </c>
      <c r="I100" t="s">
        <v>20</v>
      </c>
      <c r="J100" t="str">
        <f>H100&amp;"-"&amp;I100</f>
        <v>Passive-Column</v>
      </c>
      <c r="K100" t="s">
        <v>150</v>
      </c>
      <c r="L100" t="s">
        <v>151</v>
      </c>
      <c r="M100" t="s">
        <v>152</v>
      </c>
      <c r="N100" t="s">
        <v>196</v>
      </c>
      <c r="O100" s="1">
        <v>0.30099999999999999</v>
      </c>
    </row>
    <row r="101" spans="1:15" x14ac:dyDescent="0.55000000000000004">
      <c r="A101" t="s">
        <v>197</v>
      </c>
      <c r="B101">
        <v>31</v>
      </c>
      <c r="C101">
        <v>4</v>
      </c>
      <c r="D101" t="s">
        <v>15</v>
      </c>
      <c r="E101" t="s">
        <v>16</v>
      </c>
      <c r="F101" t="s">
        <v>17</v>
      </c>
      <c r="G101" t="s">
        <v>198</v>
      </c>
      <c r="H101" t="s">
        <v>19</v>
      </c>
      <c r="I101" t="s">
        <v>33</v>
      </c>
      <c r="J101" t="str">
        <f>H101&amp;"-"&amp;I101</f>
        <v>Passive-QuickExtract</v>
      </c>
      <c r="K101" t="s">
        <v>150</v>
      </c>
      <c r="L101" t="s">
        <v>151</v>
      </c>
      <c r="M101" t="s">
        <v>152</v>
      </c>
      <c r="N101" t="s">
        <v>198</v>
      </c>
      <c r="O101" s="1">
        <v>0.123</v>
      </c>
    </row>
    <row r="102" spans="1:15" x14ac:dyDescent="0.55000000000000004">
      <c r="A102" t="s">
        <v>199</v>
      </c>
      <c r="B102">
        <v>32</v>
      </c>
      <c r="C102">
        <v>4</v>
      </c>
      <c r="D102" t="s">
        <v>15</v>
      </c>
      <c r="E102" t="s">
        <v>16</v>
      </c>
      <c r="F102" t="s">
        <v>17</v>
      </c>
      <c r="G102" t="s">
        <v>200</v>
      </c>
      <c r="H102" t="s">
        <v>27</v>
      </c>
      <c r="I102" t="s">
        <v>20</v>
      </c>
      <c r="J102" t="str">
        <f>H102&amp;"-"&amp;I102</f>
        <v>Coffee-Column</v>
      </c>
      <c r="K102" t="s">
        <v>29</v>
      </c>
      <c r="L102" t="s">
        <v>30</v>
      </c>
      <c r="M102" t="s">
        <v>31</v>
      </c>
      <c r="N102" t="s">
        <v>200</v>
      </c>
      <c r="O102" s="1">
        <v>0.53500000000000003</v>
      </c>
    </row>
    <row r="103" spans="1:15" x14ac:dyDescent="0.55000000000000004">
      <c r="A103" t="s">
        <v>201</v>
      </c>
      <c r="B103">
        <v>33</v>
      </c>
      <c r="C103">
        <v>4</v>
      </c>
      <c r="D103" t="s">
        <v>15</v>
      </c>
      <c r="E103" t="s">
        <v>16</v>
      </c>
      <c r="F103" t="s">
        <v>17</v>
      </c>
      <c r="G103" t="s">
        <v>202</v>
      </c>
      <c r="H103" t="s">
        <v>27</v>
      </c>
      <c r="I103" t="s">
        <v>33</v>
      </c>
      <c r="J103" t="str">
        <f>H103&amp;"-"&amp;I103</f>
        <v>Coffee-QuickExtract</v>
      </c>
      <c r="K103" t="s">
        <v>29</v>
      </c>
      <c r="L103" t="s">
        <v>30</v>
      </c>
      <c r="M103" t="s">
        <v>31</v>
      </c>
      <c r="N103" t="s">
        <v>202</v>
      </c>
      <c r="O103" s="1">
        <v>0.505</v>
      </c>
    </row>
    <row r="104" spans="1:15" x14ac:dyDescent="0.55000000000000004">
      <c r="A104" t="s">
        <v>203</v>
      </c>
      <c r="B104">
        <v>34</v>
      </c>
      <c r="C104">
        <v>4</v>
      </c>
      <c r="D104" t="s">
        <v>15</v>
      </c>
      <c r="E104" t="s">
        <v>16</v>
      </c>
      <c r="F104" t="s">
        <v>17</v>
      </c>
      <c r="G104" t="s">
        <v>204</v>
      </c>
      <c r="H104" t="s">
        <v>27</v>
      </c>
      <c r="I104" t="s">
        <v>20</v>
      </c>
      <c r="J104" t="str">
        <f>H104&amp;"-"&amp;I104</f>
        <v>Coffee-Column</v>
      </c>
      <c r="K104" t="s">
        <v>29</v>
      </c>
      <c r="L104" t="s">
        <v>30</v>
      </c>
      <c r="M104" t="s">
        <v>31</v>
      </c>
      <c r="N104" t="s">
        <v>204</v>
      </c>
      <c r="O104" s="1">
        <v>1.53</v>
      </c>
    </row>
    <row r="105" spans="1:15" x14ac:dyDescent="0.55000000000000004">
      <c r="A105" t="s">
        <v>205</v>
      </c>
      <c r="B105">
        <v>35</v>
      </c>
      <c r="C105">
        <v>4</v>
      </c>
      <c r="D105" t="s">
        <v>15</v>
      </c>
      <c r="E105" t="s">
        <v>16</v>
      </c>
      <c r="F105" t="s">
        <v>17</v>
      </c>
      <c r="G105" t="s">
        <v>206</v>
      </c>
      <c r="H105" t="s">
        <v>27</v>
      </c>
      <c r="I105" t="s">
        <v>33</v>
      </c>
      <c r="J105" t="str">
        <f>H105&amp;"-"&amp;I105</f>
        <v>Coffee-QuickExtract</v>
      </c>
      <c r="K105" t="s">
        <v>29</v>
      </c>
      <c r="L105" t="s">
        <v>30</v>
      </c>
      <c r="M105" t="s">
        <v>31</v>
      </c>
      <c r="N105" t="s">
        <v>206</v>
      </c>
      <c r="O105" s="1">
        <v>0.41699999999999998</v>
      </c>
    </row>
    <row r="106" spans="1:15" x14ac:dyDescent="0.55000000000000004">
      <c r="A106" t="s">
        <v>207</v>
      </c>
      <c r="B106">
        <v>36</v>
      </c>
      <c r="C106">
        <v>4</v>
      </c>
      <c r="D106" t="s">
        <v>15</v>
      </c>
      <c r="E106" t="s">
        <v>16</v>
      </c>
      <c r="F106" t="s">
        <v>17</v>
      </c>
      <c r="G106" t="s">
        <v>208</v>
      </c>
      <c r="H106" t="s">
        <v>27</v>
      </c>
      <c r="I106" t="s">
        <v>20</v>
      </c>
      <c r="J106" t="str">
        <f>H106&amp;"-"&amp;I106</f>
        <v>Coffee-Column</v>
      </c>
      <c r="K106" t="s">
        <v>29</v>
      </c>
      <c r="L106" t="s">
        <v>30</v>
      </c>
      <c r="M106" t="s">
        <v>31</v>
      </c>
      <c r="N106" t="s">
        <v>208</v>
      </c>
      <c r="O106" s="1">
        <v>0.81</v>
      </c>
    </row>
    <row r="107" spans="1:15" x14ac:dyDescent="0.55000000000000004">
      <c r="A107" t="s">
        <v>209</v>
      </c>
      <c r="B107">
        <v>37</v>
      </c>
      <c r="C107">
        <v>4</v>
      </c>
      <c r="D107" t="s">
        <v>15</v>
      </c>
      <c r="E107" t="s">
        <v>16</v>
      </c>
      <c r="F107" t="s">
        <v>17</v>
      </c>
      <c r="G107" t="s">
        <v>210</v>
      </c>
      <c r="H107" t="s">
        <v>27</v>
      </c>
      <c r="I107" t="s">
        <v>33</v>
      </c>
      <c r="J107" t="str">
        <f>H107&amp;"-"&amp;I107</f>
        <v>Coffee-QuickExtract</v>
      </c>
      <c r="K107" t="s">
        <v>29</v>
      </c>
      <c r="L107" t="s">
        <v>30</v>
      </c>
      <c r="M107" t="s">
        <v>31</v>
      </c>
      <c r="N107" t="s">
        <v>210</v>
      </c>
      <c r="O107" s="1">
        <v>3.5000000000000003E-2</v>
      </c>
    </row>
    <row r="108" spans="1:15" x14ac:dyDescent="0.55000000000000004">
      <c r="A108" t="s">
        <v>211</v>
      </c>
      <c r="B108">
        <v>38</v>
      </c>
      <c r="C108">
        <v>4</v>
      </c>
      <c r="D108" t="s">
        <v>15</v>
      </c>
      <c r="E108" t="s">
        <v>16</v>
      </c>
      <c r="F108" t="s">
        <v>17</v>
      </c>
      <c r="G108" t="s">
        <v>212</v>
      </c>
      <c r="H108" t="s">
        <v>27</v>
      </c>
      <c r="I108" t="s">
        <v>20</v>
      </c>
      <c r="J108" t="str">
        <f>H108&amp;"-"&amp;I108</f>
        <v>Coffee-Column</v>
      </c>
      <c r="K108" t="s">
        <v>22</v>
      </c>
      <c r="L108" t="s">
        <v>23</v>
      </c>
      <c r="M108" t="s">
        <v>24</v>
      </c>
      <c r="N108" t="s">
        <v>212</v>
      </c>
      <c r="O108" s="1">
        <v>1.53</v>
      </c>
    </row>
    <row r="109" spans="1:15" x14ac:dyDescent="0.55000000000000004">
      <c r="A109" t="s">
        <v>213</v>
      </c>
      <c r="B109">
        <v>39</v>
      </c>
      <c r="C109">
        <v>4</v>
      </c>
      <c r="D109" t="s">
        <v>15</v>
      </c>
      <c r="E109" t="s">
        <v>16</v>
      </c>
      <c r="F109" t="s">
        <v>17</v>
      </c>
      <c r="G109" t="s">
        <v>214</v>
      </c>
      <c r="H109" t="s">
        <v>27</v>
      </c>
      <c r="I109" t="s">
        <v>33</v>
      </c>
      <c r="J109" t="str">
        <f>H109&amp;"-"&amp;I109</f>
        <v>Coffee-QuickExtract</v>
      </c>
      <c r="K109" t="s">
        <v>22</v>
      </c>
      <c r="L109" t="s">
        <v>23</v>
      </c>
      <c r="M109" t="s">
        <v>24</v>
      </c>
      <c r="N109" t="s">
        <v>214</v>
      </c>
      <c r="O109" s="1">
        <v>0.41699999999999998</v>
      </c>
    </row>
    <row r="110" spans="1:15" x14ac:dyDescent="0.55000000000000004">
      <c r="A110" t="s">
        <v>215</v>
      </c>
      <c r="B110">
        <v>40</v>
      </c>
      <c r="C110">
        <v>4</v>
      </c>
      <c r="D110" t="s">
        <v>15</v>
      </c>
      <c r="E110" t="s">
        <v>16</v>
      </c>
      <c r="F110" t="s">
        <v>17</v>
      </c>
      <c r="G110" t="s">
        <v>216</v>
      </c>
      <c r="H110" t="s">
        <v>19</v>
      </c>
      <c r="I110" t="s">
        <v>20</v>
      </c>
      <c r="J110" t="str">
        <f>H110&amp;"-"&amp;I110</f>
        <v>Passive-Column</v>
      </c>
      <c r="K110" t="s">
        <v>22</v>
      </c>
      <c r="L110" t="s">
        <v>23</v>
      </c>
      <c r="M110" t="s">
        <v>24</v>
      </c>
      <c r="N110" t="s">
        <v>216</v>
      </c>
      <c r="O110" s="1">
        <v>0.20699999999999999</v>
      </c>
    </row>
    <row r="111" spans="1:15" x14ac:dyDescent="0.55000000000000004">
      <c r="A111" t="s">
        <v>217</v>
      </c>
      <c r="B111">
        <v>41</v>
      </c>
      <c r="C111">
        <v>4</v>
      </c>
      <c r="D111" t="s">
        <v>15</v>
      </c>
      <c r="E111" t="s">
        <v>16</v>
      </c>
      <c r="F111" t="s">
        <v>17</v>
      </c>
      <c r="G111" t="s">
        <v>218</v>
      </c>
      <c r="H111" t="s">
        <v>19</v>
      </c>
      <c r="I111" t="s">
        <v>33</v>
      </c>
      <c r="J111" t="str">
        <f>H111&amp;"-"&amp;I111</f>
        <v>Passive-QuickExtract</v>
      </c>
      <c r="K111" t="s">
        <v>22</v>
      </c>
      <c r="L111" t="s">
        <v>23</v>
      </c>
      <c r="M111" t="s">
        <v>24</v>
      </c>
      <c r="N111" t="s">
        <v>218</v>
      </c>
      <c r="O111" s="1">
        <v>4.0500000000000001E-2</v>
      </c>
    </row>
    <row r="112" spans="1:15" x14ac:dyDescent="0.55000000000000004">
      <c r="A112" t="s">
        <v>219</v>
      </c>
      <c r="B112">
        <v>42</v>
      </c>
      <c r="C112">
        <v>4</v>
      </c>
      <c r="D112" t="s">
        <v>15</v>
      </c>
      <c r="E112" t="s">
        <v>16</v>
      </c>
      <c r="F112" t="s">
        <v>17</v>
      </c>
      <c r="G112" t="s">
        <v>220</v>
      </c>
      <c r="H112" t="s">
        <v>19</v>
      </c>
      <c r="I112" t="s">
        <v>20</v>
      </c>
      <c r="J112" t="str">
        <f>H112&amp;"-"&amp;I112</f>
        <v>Passive-Column</v>
      </c>
      <c r="K112" t="s">
        <v>221</v>
      </c>
      <c r="L112" t="s">
        <v>222</v>
      </c>
      <c r="M112" t="s">
        <v>223</v>
      </c>
      <c r="N112" t="s">
        <v>220</v>
      </c>
      <c r="O112" s="1">
        <v>0.33500000000000002</v>
      </c>
    </row>
    <row r="113" spans="1:15" x14ac:dyDescent="0.55000000000000004">
      <c r="A113" t="s">
        <v>224</v>
      </c>
      <c r="B113">
        <v>43</v>
      </c>
      <c r="C113">
        <v>4</v>
      </c>
      <c r="D113" t="s">
        <v>15</v>
      </c>
      <c r="E113" t="s">
        <v>16</v>
      </c>
      <c r="F113" t="s">
        <v>17</v>
      </c>
      <c r="G113" t="s">
        <v>225</v>
      </c>
      <c r="H113" t="s">
        <v>19</v>
      </c>
      <c r="I113" t="s">
        <v>33</v>
      </c>
      <c r="J113" t="str">
        <f>H113&amp;"-"&amp;I113</f>
        <v>Passive-QuickExtract</v>
      </c>
      <c r="K113" t="s">
        <v>221</v>
      </c>
      <c r="L113" t="s">
        <v>222</v>
      </c>
      <c r="M113" t="s">
        <v>223</v>
      </c>
      <c r="N113" t="s">
        <v>225</v>
      </c>
      <c r="O113" s="1">
        <v>1E-3</v>
      </c>
    </row>
    <row r="114" spans="1:15" x14ac:dyDescent="0.55000000000000004">
      <c r="A114" t="s">
        <v>226</v>
      </c>
      <c r="B114">
        <v>44</v>
      </c>
      <c r="C114">
        <v>4</v>
      </c>
      <c r="D114" t="s">
        <v>15</v>
      </c>
      <c r="E114" t="s">
        <v>16</v>
      </c>
      <c r="F114" t="s">
        <v>17</v>
      </c>
      <c r="G114" t="s">
        <v>227</v>
      </c>
      <c r="H114" t="s">
        <v>149</v>
      </c>
      <c r="I114" t="s">
        <v>20</v>
      </c>
      <c r="J114" t="str">
        <f>H114&amp;"-"&amp;I114</f>
        <v>Torpedo-Column</v>
      </c>
      <c r="K114" t="s">
        <v>221</v>
      </c>
      <c r="L114" t="s">
        <v>222</v>
      </c>
      <c r="M114" t="s">
        <v>223</v>
      </c>
      <c r="N114" t="s">
        <v>227</v>
      </c>
      <c r="O114" s="1">
        <v>0.308</v>
      </c>
    </row>
    <row r="115" spans="1:15" x14ac:dyDescent="0.55000000000000004">
      <c r="A115" t="s">
        <v>228</v>
      </c>
      <c r="B115">
        <v>45</v>
      </c>
      <c r="C115">
        <v>4</v>
      </c>
      <c r="D115" t="s">
        <v>15</v>
      </c>
      <c r="E115" t="s">
        <v>16</v>
      </c>
      <c r="F115" t="s">
        <v>17</v>
      </c>
      <c r="G115" t="s">
        <v>229</v>
      </c>
      <c r="H115" t="s">
        <v>149</v>
      </c>
      <c r="I115" t="s">
        <v>33</v>
      </c>
      <c r="J115" t="str">
        <f>H115&amp;"-"&amp;I115</f>
        <v>Torpedo-QuickExtract</v>
      </c>
      <c r="K115" t="s">
        <v>221</v>
      </c>
      <c r="L115" t="s">
        <v>222</v>
      </c>
      <c r="M115" t="s">
        <v>223</v>
      </c>
      <c r="N115" t="s">
        <v>229</v>
      </c>
      <c r="O115" s="1">
        <v>5.3999999999999999E-2</v>
      </c>
    </row>
    <row r="116" spans="1:15" x14ac:dyDescent="0.55000000000000004">
      <c r="A116" t="s">
        <v>230</v>
      </c>
      <c r="B116">
        <v>46</v>
      </c>
      <c r="C116">
        <v>4</v>
      </c>
      <c r="D116" t="s">
        <v>15</v>
      </c>
      <c r="E116" t="s">
        <v>16</v>
      </c>
      <c r="F116" t="s">
        <v>17</v>
      </c>
      <c r="G116" t="s">
        <v>231</v>
      </c>
      <c r="H116" t="s">
        <v>19</v>
      </c>
      <c r="I116" t="s">
        <v>20</v>
      </c>
      <c r="J116" t="str">
        <f>H116&amp;"-"&amp;I116</f>
        <v>Passive-Column</v>
      </c>
      <c r="K116" t="s">
        <v>29</v>
      </c>
      <c r="L116" t="s">
        <v>30</v>
      </c>
      <c r="M116" t="s">
        <v>31</v>
      </c>
      <c r="N116" t="s">
        <v>231</v>
      </c>
      <c r="O116" s="1">
        <v>0.90500000000000003</v>
      </c>
    </row>
    <row r="117" spans="1:15" x14ac:dyDescent="0.55000000000000004">
      <c r="A117" t="s">
        <v>232</v>
      </c>
      <c r="B117">
        <v>47</v>
      </c>
      <c r="C117">
        <v>4</v>
      </c>
      <c r="D117" t="s">
        <v>15</v>
      </c>
      <c r="E117" t="s">
        <v>16</v>
      </c>
      <c r="F117" t="s">
        <v>17</v>
      </c>
      <c r="G117" t="s">
        <v>233</v>
      </c>
      <c r="H117" t="s">
        <v>27</v>
      </c>
      <c r="I117" t="s">
        <v>20</v>
      </c>
      <c r="J117" t="str">
        <f>H117&amp;"-"&amp;I117</f>
        <v>Coffee-Column</v>
      </c>
      <c r="K117" t="s">
        <v>22</v>
      </c>
      <c r="L117" t="s">
        <v>23</v>
      </c>
      <c r="M117" t="s">
        <v>24</v>
      </c>
      <c r="N117" t="s">
        <v>233</v>
      </c>
      <c r="O117" s="1">
        <v>0.25</v>
      </c>
    </row>
    <row r="118" spans="1:15" x14ac:dyDescent="0.55000000000000004">
      <c r="A118" t="s">
        <v>234</v>
      </c>
      <c r="B118">
        <v>48</v>
      </c>
      <c r="C118">
        <v>4</v>
      </c>
      <c r="D118" t="s">
        <v>15</v>
      </c>
      <c r="E118" t="s">
        <v>16</v>
      </c>
      <c r="F118" t="s">
        <v>17</v>
      </c>
      <c r="G118" t="s">
        <v>235</v>
      </c>
      <c r="H118" t="s">
        <v>19</v>
      </c>
      <c r="I118" t="s">
        <v>20</v>
      </c>
      <c r="J118" t="str">
        <f>H118&amp;"-"&amp;I118</f>
        <v>Passive-Column</v>
      </c>
      <c r="K118" t="s">
        <v>29</v>
      </c>
      <c r="L118" t="s">
        <v>30</v>
      </c>
      <c r="M118" t="s">
        <v>31</v>
      </c>
      <c r="N118" t="s">
        <v>235</v>
      </c>
      <c r="O118" s="1">
        <v>0.13100000000000001</v>
      </c>
    </row>
    <row r="119" spans="1:15" x14ac:dyDescent="0.55000000000000004">
      <c r="A119" t="s">
        <v>236</v>
      </c>
      <c r="B119">
        <v>49</v>
      </c>
      <c r="C119">
        <v>4</v>
      </c>
      <c r="D119" t="s">
        <v>15</v>
      </c>
      <c r="E119" t="s">
        <v>16</v>
      </c>
      <c r="F119" t="s">
        <v>17</v>
      </c>
      <c r="G119" t="s">
        <v>237</v>
      </c>
      <c r="H119" t="s">
        <v>19</v>
      </c>
      <c r="I119" t="s">
        <v>20</v>
      </c>
      <c r="J119" t="str">
        <f>H119&amp;"-"&amp;I119</f>
        <v>Passive-Column</v>
      </c>
      <c r="K119" t="s">
        <v>22</v>
      </c>
      <c r="L119" t="s">
        <v>23</v>
      </c>
      <c r="M119" t="s">
        <v>24</v>
      </c>
      <c r="N119" t="s">
        <v>237</v>
      </c>
      <c r="O119" s="1">
        <v>5.1499999999999997E-2</v>
      </c>
    </row>
    <row r="120" spans="1:15" x14ac:dyDescent="0.55000000000000004">
      <c r="A120" t="s">
        <v>238</v>
      </c>
      <c r="B120">
        <v>50</v>
      </c>
      <c r="C120">
        <v>4</v>
      </c>
      <c r="D120" t="s">
        <v>15</v>
      </c>
      <c r="E120" t="s">
        <v>16</v>
      </c>
      <c r="F120" t="s">
        <v>17</v>
      </c>
      <c r="G120" t="s">
        <v>239</v>
      </c>
      <c r="H120" t="s">
        <v>19</v>
      </c>
      <c r="I120" t="s">
        <v>20</v>
      </c>
      <c r="J120" t="str">
        <f>H120&amp;"-"&amp;I120</f>
        <v>Passive-Column</v>
      </c>
      <c r="K120" t="s">
        <v>29</v>
      </c>
      <c r="L120" t="s">
        <v>30</v>
      </c>
      <c r="M120" t="s">
        <v>31</v>
      </c>
      <c r="N120" t="s">
        <v>239</v>
      </c>
      <c r="O120" s="1">
        <v>0.20200000000000001</v>
      </c>
    </row>
    <row r="121" spans="1:15" x14ac:dyDescent="0.55000000000000004">
      <c r="A121" t="s">
        <v>240</v>
      </c>
      <c r="B121">
        <v>51</v>
      </c>
      <c r="C121">
        <v>4</v>
      </c>
      <c r="D121" t="s">
        <v>15</v>
      </c>
      <c r="E121" t="s">
        <v>16</v>
      </c>
      <c r="F121" t="s">
        <v>17</v>
      </c>
      <c r="G121" t="s">
        <v>241</v>
      </c>
      <c r="H121" t="s">
        <v>19</v>
      </c>
      <c r="I121" t="s">
        <v>20</v>
      </c>
      <c r="J121" t="str">
        <f>H121&amp;"-"&amp;I121</f>
        <v>Passive-Column</v>
      </c>
      <c r="K121" t="s">
        <v>22</v>
      </c>
      <c r="L121" t="s">
        <v>23</v>
      </c>
      <c r="M121" t="s">
        <v>24</v>
      </c>
      <c r="N121" t="s">
        <v>241</v>
      </c>
      <c r="O121" s="1">
        <v>1E-3</v>
      </c>
    </row>
    <row r="122" spans="1:15" x14ac:dyDescent="0.55000000000000004">
      <c r="A122" t="s">
        <v>242</v>
      </c>
      <c r="B122">
        <v>52</v>
      </c>
      <c r="C122">
        <v>4</v>
      </c>
      <c r="D122" t="s">
        <v>15</v>
      </c>
      <c r="E122" t="s">
        <v>16</v>
      </c>
      <c r="F122" t="s">
        <v>17</v>
      </c>
      <c r="G122" t="s">
        <v>243</v>
      </c>
      <c r="H122" t="s">
        <v>149</v>
      </c>
      <c r="I122" t="s">
        <v>20</v>
      </c>
      <c r="J122" t="str">
        <f>H122&amp;"-"&amp;I122</f>
        <v>Torpedo-Column</v>
      </c>
      <c r="K122" t="s">
        <v>221</v>
      </c>
      <c r="L122" t="s">
        <v>222</v>
      </c>
      <c r="M122" t="s">
        <v>223</v>
      </c>
      <c r="N122" t="s">
        <v>243</v>
      </c>
      <c r="O122" s="1">
        <v>4.0500000000000001E-2</v>
      </c>
    </row>
    <row r="123" spans="1:15" x14ac:dyDescent="0.55000000000000004">
      <c r="A123" t="s">
        <v>244</v>
      </c>
      <c r="B123">
        <v>53</v>
      </c>
      <c r="C123">
        <v>4</v>
      </c>
      <c r="D123" t="s">
        <v>15</v>
      </c>
      <c r="E123" t="s">
        <v>16</v>
      </c>
      <c r="F123" t="s">
        <v>17</v>
      </c>
      <c r="G123" t="s">
        <v>245</v>
      </c>
      <c r="H123" t="s">
        <v>19</v>
      </c>
      <c r="I123" t="s">
        <v>20</v>
      </c>
      <c r="J123" t="str">
        <f>H123&amp;"-"&amp;I123</f>
        <v>Passive-Column</v>
      </c>
      <c r="K123" t="s">
        <v>221</v>
      </c>
      <c r="L123" t="s">
        <v>222</v>
      </c>
      <c r="M123" t="s">
        <v>223</v>
      </c>
      <c r="N123" t="s">
        <v>245</v>
      </c>
      <c r="O123" s="1">
        <v>1E-3</v>
      </c>
    </row>
    <row r="124" spans="1:15" x14ac:dyDescent="0.55000000000000004">
      <c r="A124" t="s">
        <v>246</v>
      </c>
      <c r="B124">
        <v>54</v>
      </c>
      <c r="C124">
        <v>4</v>
      </c>
      <c r="D124" t="s">
        <v>15</v>
      </c>
      <c r="E124" t="s">
        <v>16</v>
      </c>
      <c r="F124" t="s">
        <v>17</v>
      </c>
      <c r="G124" t="s">
        <v>247</v>
      </c>
      <c r="H124" t="s">
        <v>27</v>
      </c>
      <c r="I124" t="s">
        <v>33</v>
      </c>
      <c r="J124" t="str">
        <f>H124&amp;"-"&amp;I124</f>
        <v>Coffee-QuickExtract</v>
      </c>
      <c r="K124" t="s">
        <v>22</v>
      </c>
      <c r="L124" t="s">
        <v>23</v>
      </c>
      <c r="M124" t="s">
        <v>24</v>
      </c>
      <c r="N124" t="s">
        <v>247</v>
      </c>
      <c r="O124" s="1">
        <v>0.42399999999999999</v>
      </c>
    </row>
    <row r="125" spans="1:15" x14ac:dyDescent="0.55000000000000004">
      <c r="A125" t="s">
        <v>248</v>
      </c>
      <c r="B125">
        <v>55</v>
      </c>
      <c r="C125">
        <v>4</v>
      </c>
      <c r="D125" t="s">
        <v>15</v>
      </c>
      <c r="E125" t="s">
        <v>16</v>
      </c>
      <c r="F125" t="s">
        <v>17</v>
      </c>
      <c r="G125" t="s">
        <v>249</v>
      </c>
      <c r="H125" t="s">
        <v>27</v>
      </c>
      <c r="I125" t="s">
        <v>33</v>
      </c>
      <c r="J125" t="str">
        <f>H125&amp;"-"&amp;I125</f>
        <v>Coffee-QuickExtract</v>
      </c>
      <c r="K125" t="s">
        <v>22</v>
      </c>
      <c r="L125" t="s">
        <v>23</v>
      </c>
      <c r="M125" t="s">
        <v>24</v>
      </c>
      <c r="N125" t="s">
        <v>249</v>
      </c>
      <c r="O125" s="1">
        <v>0.52</v>
      </c>
    </row>
    <row r="126" spans="1:15" x14ac:dyDescent="0.55000000000000004">
      <c r="A126" t="s">
        <v>250</v>
      </c>
      <c r="B126">
        <v>56</v>
      </c>
      <c r="C126">
        <v>4</v>
      </c>
      <c r="D126" t="s">
        <v>15</v>
      </c>
      <c r="E126" t="s">
        <v>16</v>
      </c>
      <c r="F126" t="s">
        <v>17</v>
      </c>
      <c r="G126" t="s">
        <v>251</v>
      </c>
      <c r="H126" t="s">
        <v>19</v>
      </c>
      <c r="I126" t="s">
        <v>33</v>
      </c>
      <c r="J126" t="str">
        <f>H126&amp;"-"&amp;I126</f>
        <v>Passive-QuickExtract</v>
      </c>
      <c r="K126" t="s">
        <v>22</v>
      </c>
      <c r="L126" t="s">
        <v>23</v>
      </c>
      <c r="M126" t="s">
        <v>24</v>
      </c>
      <c r="N126" t="s">
        <v>251</v>
      </c>
      <c r="O126" s="1">
        <v>6.3E-2</v>
      </c>
    </row>
    <row r="127" spans="1:15" x14ac:dyDescent="0.55000000000000004">
      <c r="A127" t="s">
        <v>252</v>
      </c>
      <c r="B127">
        <v>57</v>
      </c>
      <c r="C127">
        <v>4</v>
      </c>
      <c r="D127" t="s">
        <v>15</v>
      </c>
      <c r="E127" t="s">
        <v>16</v>
      </c>
      <c r="F127" t="s">
        <v>17</v>
      </c>
      <c r="G127" t="s">
        <v>253</v>
      </c>
      <c r="H127" t="s">
        <v>19</v>
      </c>
      <c r="I127" t="s">
        <v>33</v>
      </c>
      <c r="J127" t="str">
        <f>H127&amp;"-"&amp;I127</f>
        <v>Passive-QuickExtract</v>
      </c>
      <c r="K127" t="s">
        <v>22</v>
      </c>
      <c r="L127" t="s">
        <v>23</v>
      </c>
      <c r="M127" t="s">
        <v>24</v>
      </c>
      <c r="N127" t="s">
        <v>253</v>
      </c>
      <c r="O127" s="1">
        <v>0.16600000000000001</v>
      </c>
    </row>
    <row r="128" spans="1:15" x14ac:dyDescent="0.55000000000000004">
      <c r="A128" t="s">
        <v>254</v>
      </c>
      <c r="B128">
        <v>58</v>
      </c>
      <c r="C128">
        <v>4</v>
      </c>
      <c r="D128" t="s">
        <v>15</v>
      </c>
      <c r="E128" t="s">
        <v>16</v>
      </c>
      <c r="F128" t="s">
        <v>17</v>
      </c>
      <c r="G128" t="s">
        <v>255</v>
      </c>
      <c r="H128" t="s">
        <v>19</v>
      </c>
      <c r="I128" t="s">
        <v>33</v>
      </c>
      <c r="J128" t="str">
        <f>H128&amp;"-"&amp;I128</f>
        <v>Passive-QuickExtract</v>
      </c>
      <c r="K128" t="s">
        <v>29</v>
      </c>
      <c r="L128" t="s">
        <v>30</v>
      </c>
      <c r="M128" t="s">
        <v>31</v>
      </c>
      <c r="N128" t="s">
        <v>255</v>
      </c>
      <c r="O128" s="1">
        <v>1E-3</v>
      </c>
    </row>
    <row r="129" spans="1:15" x14ac:dyDescent="0.55000000000000004">
      <c r="A129" t="s">
        <v>256</v>
      </c>
      <c r="B129">
        <v>59</v>
      </c>
      <c r="C129">
        <v>4</v>
      </c>
      <c r="D129" t="s">
        <v>15</v>
      </c>
      <c r="E129" t="s">
        <v>16</v>
      </c>
      <c r="F129" t="s">
        <v>17</v>
      </c>
      <c r="G129" t="s">
        <v>257</v>
      </c>
      <c r="H129" t="s">
        <v>19</v>
      </c>
      <c r="I129" t="s">
        <v>33</v>
      </c>
      <c r="J129" t="str">
        <f>H129&amp;"-"&amp;I129</f>
        <v>Passive-QuickExtract</v>
      </c>
      <c r="K129" t="s">
        <v>29</v>
      </c>
      <c r="L129" t="s">
        <v>30</v>
      </c>
      <c r="M129" t="s">
        <v>31</v>
      </c>
      <c r="N129" t="s">
        <v>257</v>
      </c>
      <c r="O129" s="1">
        <v>0.16700000000000001</v>
      </c>
    </row>
    <row r="130" spans="1:15" x14ac:dyDescent="0.55000000000000004">
      <c r="A130" t="s">
        <v>258</v>
      </c>
      <c r="B130">
        <v>60</v>
      </c>
      <c r="C130">
        <v>4</v>
      </c>
      <c r="D130" t="s">
        <v>15</v>
      </c>
      <c r="E130" t="s">
        <v>16</v>
      </c>
      <c r="F130" t="s">
        <v>17</v>
      </c>
      <c r="G130" t="s">
        <v>259</v>
      </c>
      <c r="H130" t="s">
        <v>19</v>
      </c>
      <c r="I130" t="s">
        <v>33</v>
      </c>
      <c r="J130" t="str">
        <f>H130&amp;"-"&amp;I130</f>
        <v>Passive-QuickExtract</v>
      </c>
      <c r="K130" t="s">
        <v>29</v>
      </c>
      <c r="L130" t="s">
        <v>30</v>
      </c>
      <c r="M130" t="s">
        <v>31</v>
      </c>
      <c r="N130" t="s">
        <v>259</v>
      </c>
      <c r="O130" s="1">
        <v>1.1200000000000001</v>
      </c>
    </row>
    <row r="131" spans="1:15" x14ac:dyDescent="0.55000000000000004">
      <c r="A131" t="s">
        <v>260</v>
      </c>
      <c r="B131">
        <v>61</v>
      </c>
      <c r="C131">
        <v>4</v>
      </c>
      <c r="D131" t="s">
        <v>15</v>
      </c>
      <c r="E131" t="s">
        <v>16</v>
      </c>
      <c r="F131" t="s">
        <v>17</v>
      </c>
      <c r="G131" t="s">
        <v>261</v>
      </c>
      <c r="H131" t="s">
        <v>27</v>
      </c>
      <c r="I131" t="s">
        <v>20</v>
      </c>
      <c r="J131" t="str">
        <f>H131&amp;"-"&amp;I131</f>
        <v>Coffee-Column</v>
      </c>
      <c r="K131" t="s">
        <v>22</v>
      </c>
      <c r="L131" t="s">
        <v>23</v>
      </c>
      <c r="M131" t="s">
        <v>24</v>
      </c>
      <c r="N131" t="s">
        <v>261</v>
      </c>
      <c r="O131" s="1">
        <v>4.5499999999999999E-2</v>
      </c>
    </row>
    <row r="132" spans="1:15" x14ac:dyDescent="0.55000000000000004">
      <c r="A132" t="s">
        <v>266</v>
      </c>
      <c r="B132">
        <v>64</v>
      </c>
      <c r="C132">
        <v>4</v>
      </c>
      <c r="D132" t="s">
        <v>15</v>
      </c>
      <c r="E132" t="s">
        <v>16</v>
      </c>
      <c r="F132" t="s">
        <v>17</v>
      </c>
      <c r="G132" t="s">
        <v>267</v>
      </c>
      <c r="H132" t="s">
        <v>47</v>
      </c>
      <c r="I132" t="s">
        <v>47</v>
      </c>
      <c r="J132" t="str">
        <f>H132&amp;"-"&amp;I132</f>
        <v>Sylphium-Sylphium</v>
      </c>
      <c r="K132" t="s">
        <v>22</v>
      </c>
      <c r="L132" t="s">
        <v>23</v>
      </c>
      <c r="M132" t="s">
        <v>24</v>
      </c>
      <c r="N132" t="s">
        <v>267</v>
      </c>
      <c r="O132" s="1">
        <v>0.624</v>
      </c>
    </row>
    <row r="133" spans="1:15" x14ac:dyDescent="0.55000000000000004">
      <c r="A133" t="s">
        <v>268</v>
      </c>
      <c r="B133">
        <v>65</v>
      </c>
      <c r="C133">
        <v>4</v>
      </c>
      <c r="D133" t="s">
        <v>15</v>
      </c>
      <c r="E133" t="s">
        <v>16</v>
      </c>
      <c r="F133" t="s">
        <v>17</v>
      </c>
      <c r="G133" t="s">
        <v>269</v>
      </c>
      <c r="H133" t="s">
        <v>47</v>
      </c>
      <c r="I133" t="s">
        <v>47</v>
      </c>
      <c r="J133" t="str">
        <f>H133&amp;"-"&amp;I133</f>
        <v>Sylphium-Sylphium</v>
      </c>
      <c r="K133" t="s">
        <v>22</v>
      </c>
      <c r="L133" t="s">
        <v>23</v>
      </c>
      <c r="M133" t="s">
        <v>24</v>
      </c>
      <c r="N133" t="s">
        <v>269</v>
      </c>
      <c r="O133" s="1">
        <v>0.754</v>
      </c>
    </row>
    <row r="134" spans="1:15" x14ac:dyDescent="0.55000000000000004">
      <c r="A134" t="s">
        <v>270</v>
      </c>
      <c r="B134">
        <v>66</v>
      </c>
      <c r="C134">
        <v>4</v>
      </c>
      <c r="D134" t="s">
        <v>15</v>
      </c>
      <c r="E134" t="s">
        <v>16</v>
      </c>
      <c r="F134" t="s">
        <v>17</v>
      </c>
      <c r="G134" t="s">
        <v>271</v>
      </c>
      <c r="H134" t="s">
        <v>47</v>
      </c>
      <c r="I134" t="s">
        <v>47</v>
      </c>
      <c r="J134" t="str">
        <f>H134&amp;"-"&amp;I134</f>
        <v>Sylphium-Sylphium</v>
      </c>
      <c r="K134" t="s">
        <v>29</v>
      </c>
      <c r="L134" t="s">
        <v>30</v>
      </c>
      <c r="M134" t="s">
        <v>31</v>
      </c>
      <c r="N134" t="s">
        <v>271</v>
      </c>
      <c r="O134" s="1">
        <v>1.35</v>
      </c>
    </row>
    <row r="135" spans="1:15" x14ac:dyDescent="0.55000000000000004">
      <c r="A135" t="s">
        <v>272</v>
      </c>
      <c r="B135">
        <v>67</v>
      </c>
      <c r="C135">
        <v>4</v>
      </c>
      <c r="D135" t="s">
        <v>15</v>
      </c>
      <c r="E135" t="s">
        <v>16</v>
      </c>
      <c r="F135" t="s">
        <v>17</v>
      </c>
      <c r="G135" t="s">
        <v>273</v>
      </c>
      <c r="H135" t="s">
        <v>47</v>
      </c>
      <c r="I135" t="s">
        <v>47</v>
      </c>
      <c r="J135" t="str">
        <f>H135&amp;"-"&amp;I135</f>
        <v>Sylphium-Sylphium</v>
      </c>
      <c r="K135" t="s">
        <v>22</v>
      </c>
      <c r="L135" t="s">
        <v>23</v>
      </c>
      <c r="M135" t="s">
        <v>24</v>
      </c>
      <c r="N135" t="s">
        <v>273</v>
      </c>
      <c r="O135" s="1">
        <v>0.22800000000000001</v>
      </c>
    </row>
    <row r="136" spans="1:15" x14ac:dyDescent="0.55000000000000004">
      <c r="A136" t="s">
        <v>274</v>
      </c>
      <c r="B136">
        <v>68</v>
      </c>
      <c r="C136">
        <v>4</v>
      </c>
      <c r="D136" t="s">
        <v>15</v>
      </c>
      <c r="E136" t="s">
        <v>16</v>
      </c>
      <c r="F136" t="s">
        <v>17</v>
      </c>
      <c r="G136" t="s">
        <v>275</v>
      </c>
      <c r="H136" t="s">
        <v>47</v>
      </c>
      <c r="I136" t="s">
        <v>47</v>
      </c>
      <c r="J136" t="str">
        <f>H136&amp;"-"&amp;I136</f>
        <v>Sylphium-Sylphium</v>
      </c>
      <c r="K136" t="s">
        <v>29</v>
      </c>
      <c r="L136" t="s">
        <v>30</v>
      </c>
      <c r="M136" t="s">
        <v>31</v>
      </c>
      <c r="N136" t="s">
        <v>275</v>
      </c>
      <c r="O136" s="1">
        <v>1.31</v>
      </c>
    </row>
    <row r="137" spans="1:15" x14ac:dyDescent="0.55000000000000004">
      <c r="A137" t="s">
        <v>276</v>
      </c>
      <c r="B137">
        <v>69</v>
      </c>
      <c r="C137">
        <v>4</v>
      </c>
      <c r="D137" t="s">
        <v>15</v>
      </c>
      <c r="E137" t="s">
        <v>16</v>
      </c>
      <c r="F137" t="s">
        <v>17</v>
      </c>
      <c r="G137" t="s">
        <v>277</v>
      </c>
      <c r="H137" t="s">
        <v>47</v>
      </c>
      <c r="I137" t="s">
        <v>47</v>
      </c>
      <c r="J137" t="str">
        <f>H137&amp;"-"&amp;I137</f>
        <v>Sylphium-Sylphium</v>
      </c>
      <c r="K137" t="s">
        <v>29</v>
      </c>
      <c r="L137" t="s">
        <v>30</v>
      </c>
      <c r="M137" t="s">
        <v>31</v>
      </c>
      <c r="N137" t="s">
        <v>277</v>
      </c>
      <c r="O137" s="1">
        <v>20.8</v>
      </c>
    </row>
    <row r="138" spans="1:15" x14ac:dyDescent="0.55000000000000004">
      <c r="A138" t="s">
        <v>105</v>
      </c>
      <c r="B138">
        <v>39</v>
      </c>
      <c r="C138">
        <v>2</v>
      </c>
      <c r="D138" t="s">
        <v>15</v>
      </c>
      <c r="E138" t="s">
        <v>16</v>
      </c>
      <c r="F138" t="s">
        <v>17</v>
      </c>
      <c r="G138" t="s">
        <v>106</v>
      </c>
      <c r="H138" t="s">
        <v>107</v>
      </c>
      <c r="I138" t="s">
        <v>107</v>
      </c>
      <c r="J138" t="str">
        <f>H138&amp;"-"&amp;I138</f>
        <v>PCRnegative-PCRnegative</v>
      </c>
      <c r="M138" t="s">
        <v>104</v>
      </c>
      <c r="N138" t="s">
        <v>106</v>
      </c>
    </row>
    <row r="139" spans="1:15" x14ac:dyDescent="0.55000000000000004">
      <c r="A139" t="s">
        <v>145</v>
      </c>
      <c r="B139">
        <v>7</v>
      </c>
      <c r="C139">
        <v>4</v>
      </c>
      <c r="D139" t="s">
        <v>15</v>
      </c>
      <c r="E139" t="s">
        <v>16</v>
      </c>
      <c r="F139" t="s">
        <v>17</v>
      </c>
      <c r="G139" t="s">
        <v>146</v>
      </c>
      <c r="H139" t="s">
        <v>107</v>
      </c>
      <c r="J139" t="str">
        <f>H139&amp;"-"&amp;I139</f>
        <v>PCRnegative-</v>
      </c>
      <c r="M139" t="s">
        <v>104</v>
      </c>
      <c r="N139" t="s">
        <v>146</v>
      </c>
    </row>
    <row r="140" spans="1:15" x14ac:dyDescent="0.55000000000000004">
      <c r="A140" t="s">
        <v>280</v>
      </c>
      <c r="B140">
        <v>71</v>
      </c>
      <c r="C140">
        <v>4</v>
      </c>
      <c r="D140" t="s">
        <v>15</v>
      </c>
      <c r="E140" t="s">
        <v>16</v>
      </c>
      <c r="F140" t="s">
        <v>17</v>
      </c>
      <c r="G140" t="s">
        <v>281</v>
      </c>
      <c r="H140" t="s">
        <v>47</v>
      </c>
      <c r="I140" t="s">
        <v>47</v>
      </c>
      <c r="J140" t="str">
        <f>H140&amp;"-"&amp;I140</f>
        <v>Sylphium-Sylphium</v>
      </c>
      <c r="M140" t="s">
        <v>104</v>
      </c>
      <c r="N140" t="s">
        <v>281</v>
      </c>
    </row>
    <row r="141" spans="1:15" x14ac:dyDescent="0.55000000000000004">
      <c r="A141" t="s">
        <v>343</v>
      </c>
      <c r="B141">
        <v>96</v>
      </c>
      <c r="C141">
        <v>2</v>
      </c>
      <c r="D141" t="s">
        <v>283</v>
      </c>
      <c r="E141" t="s">
        <v>284</v>
      </c>
      <c r="F141" t="s">
        <v>285</v>
      </c>
      <c r="G141" t="s">
        <v>344</v>
      </c>
      <c r="H141" t="s">
        <v>107</v>
      </c>
      <c r="I141" t="s">
        <v>107</v>
      </c>
      <c r="J141" t="str">
        <f>H141&amp;"-"&amp;I141</f>
        <v>PCRnegative-PCRnegative</v>
      </c>
      <c r="M141" t="s">
        <v>104</v>
      </c>
      <c r="N141" t="s">
        <v>344</v>
      </c>
    </row>
    <row r="142" spans="1:15" x14ac:dyDescent="0.55000000000000004">
      <c r="A142" t="s">
        <v>431</v>
      </c>
      <c r="B142">
        <v>63</v>
      </c>
      <c r="C142">
        <v>4</v>
      </c>
      <c r="D142" t="s">
        <v>283</v>
      </c>
      <c r="E142" t="s">
        <v>284</v>
      </c>
      <c r="F142" t="s">
        <v>285</v>
      </c>
      <c r="G142" t="s">
        <v>146</v>
      </c>
      <c r="H142" t="s">
        <v>107</v>
      </c>
      <c r="J142" t="str">
        <f>H142&amp;"-"&amp;I142</f>
        <v>PCRnegative-</v>
      </c>
      <c r="M142" t="s">
        <v>104</v>
      </c>
      <c r="N142" t="s">
        <v>146</v>
      </c>
    </row>
    <row r="143" spans="1:15" x14ac:dyDescent="0.55000000000000004">
      <c r="A143" t="s">
        <v>440</v>
      </c>
      <c r="B143">
        <v>72</v>
      </c>
      <c r="C143">
        <v>4</v>
      </c>
      <c r="D143" t="s">
        <v>283</v>
      </c>
      <c r="E143" t="s">
        <v>284</v>
      </c>
      <c r="F143" t="s">
        <v>285</v>
      </c>
      <c r="G143" t="s">
        <v>441</v>
      </c>
      <c r="H143" t="s">
        <v>47</v>
      </c>
      <c r="I143" t="s">
        <v>47</v>
      </c>
      <c r="J143" t="str">
        <f>H143&amp;"-"&amp;I143</f>
        <v>Sylphium-Sylphium</v>
      </c>
      <c r="M143" t="s">
        <v>104</v>
      </c>
      <c r="N143" t="s">
        <v>281</v>
      </c>
    </row>
    <row r="144" spans="1:15" x14ac:dyDescent="0.55000000000000004">
      <c r="A144" t="s">
        <v>282</v>
      </c>
      <c r="B144">
        <v>65</v>
      </c>
      <c r="C144">
        <v>1</v>
      </c>
      <c r="D144" t="s">
        <v>283</v>
      </c>
      <c r="E144" t="s">
        <v>284</v>
      </c>
      <c r="F144" t="s">
        <v>285</v>
      </c>
      <c r="G144" t="s">
        <v>62</v>
      </c>
      <c r="H144" t="s">
        <v>19</v>
      </c>
      <c r="I144" t="s">
        <v>20</v>
      </c>
      <c r="J144" t="str">
        <f>H144&amp;"-"&amp;I144</f>
        <v>Passive-Column</v>
      </c>
      <c r="K144" t="s">
        <v>29</v>
      </c>
      <c r="L144" t="s">
        <v>30</v>
      </c>
      <c r="M144" t="s">
        <v>31</v>
      </c>
      <c r="N144" t="s">
        <v>63</v>
      </c>
      <c r="O144" s="1">
        <v>0.124</v>
      </c>
    </row>
    <row r="145" spans="1:15" x14ac:dyDescent="0.55000000000000004">
      <c r="A145" t="s">
        <v>286</v>
      </c>
      <c r="B145">
        <v>66</v>
      </c>
      <c r="C145">
        <v>1</v>
      </c>
      <c r="D145" t="s">
        <v>283</v>
      </c>
      <c r="E145" t="s">
        <v>284</v>
      </c>
      <c r="F145" t="s">
        <v>285</v>
      </c>
      <c r="G145" t="s">
        <v>62</v>
      </c>
      <c r="H145" t="s">
        <v>19</v>
      </c>
      <c r="I145" t="s">
        <v>33</v>
      </c>
      <c r="J145" t="str">
        <f>H145&amp;"-"&amp;I145</f>
        <v>Passive-QuickExtract</v>
      </c>
      <c r="K145" t="s">
        <v>29</v>
      </c>
      <c r="L145" t="s">
        <v>30</v>
      </c>
      <c r="M145" t="s">
        <v>31</v>
      </c>
      <c r="N145" t="s">
        <v>65</v>
      </c>
      <c r="O145" s="1">
        <v>2.6499999999999999E-2</v>
      </c>
    </row>
    <row r="146" spans="1:15" x14ac:dyDescent="0.55000000000000004">
      <c r="A146" t="s">
        <v>287</v>
      </c>
      <c r="B146">
        <v>67</v>
      </c>
      <c r="C146">
        <v>1</v>
      </c>
      <c r="D146" t="s">
        <v>283</v>
      </c>
      <c r="E146" t="s">
        <v>284</v>
      </c>
      <c r="F146" t="s">
        <v>285</v>
      </c>
      <c r="G146" t="s">
        <v>67</v>
      </c>
      <c r="H146" t="s">
        <v>27</v>
      </c>
      <c r="I146" t="s">
        <v>20</v>
      </c>
      <c r="J146" t="str">
        <f>H146&amp;"-"&amp;I146</f>
        <v>Coffee-Column</v>
      </c>
      <c r="K146" t="s">
        <v>22</v>
      </c>
      <c r="L146" t="s">
        <v>23</v>
      </c>
      <c r="M146" t="s">
        <v>24</v>
      </c>
      <c r="N146" t="s">
        <v>68</v>
      </c>
      <c r="O146" s="1">
        <v>2.84</v>
      </c>
    </row>
    <row r="147" spans="1:15" x14ac:dyDescent="0.55000000000000004">
      <c r="A147" t="s">
        <v>288</v>
      </c>
      <c r="B147">
        <v>68</v>
      </c>
      <c r="C147">
        <v>1</v>
      </c>
      <c r="D147" t="s">
        <v>283</v>
      </c>
      <c r="E147" t="s">
        <v>284</v>
      </c>
      <c r="F147" t="s">
        <v>285</v>
      </c>
      <c r="G147" t="s">
        <v>67</v>
      </c>
      <c r="H147" t="s">
        <v>27</v>
      </c>
      <c r="I147" t="s">
        <v>33</v>
      </c>
      <c r="J147" t="str">
        <f>H147&amp;"-"&amp;I147</f>
        <v>Coffee-QuickExtract</v>
      </c>
      <c r="K147" t="s">
        <v>22</v>
      </c>
      <c r="L147" t="s">
        <v>23</v>
      </c>
      <c r="M147" t="s">
        <v>24</v>
      </c>
      <c r="N147" t="s">
        <v>70</v>
      </c>
      <c r="O147" s="1">
        <v>0.439</v>
      </c>
    </row>
    <row r="148" spans="1:15" x14ac:dyDescent="0.55000000000000004">
      <c r="A148" t="s">
        <v>289</v>
      </c>
      <c r="B148">
        <v>69</v>
      </c>
      <c r="C148">
        <v>1</v>
      </c>
      <c r="D148" t="s">
        <v>283</v>
      </c>
      <c r="E148" t="s">
        <v>284</v>
      </c>
      <c r="F148" t="s">
        <v>285</v>
      </c>
      <c r="G148" t="s">
        <v>72</v>
      </c>
      <c r="H148" t="s">
        <v>47</v>
      </c>
      <c r="I148" t="s">
        <v>47</v>
      </c>
      <c r="J148" t="str">
        <f>H148&amp;"-"&amp;I148</f>
        <v>Sylphium-Sylphium</v>
      </c>
      <c r="K148" t="s">
        <v>29</v>
      </c>
      <c r="L148" t="s">
        <v>30</v>
      </c>
      <c r="M148" t="s">
        <v>31</v>
      </c>
      <c r="N148" t="s">
        <v>72</v>
      </c>
      <c r="O148" s="1">
        <v>2.06</v>
      </c>
    </row>
    <row r="149" spans="1:15" x14ac:dyDescent="0.55000000000000004">
      <c r="A149" t="s">
        <v>290</v>
      </c>
      <c r="B149">
        <v>70</v>
      </c>
      <c r="C149">
        <v>1</v>
      </c>
      <c r="D149" t="s">
        <v>283</v>
      </c>
      <c r="E149" t="s">
        <v>284</v>
      </c>
      <c r="F149" t="s">
        <v>285</v>
      </c>
      <c r="G149" t="s">
        <v>36</v>
      </c>
      <c r="H149" t="s">
        <v>19</v>
      </c>
      <c r="I149" t="s">
        <v>20</v>
      </c>
      <c r="J149" t="str">
        <f>H149&amp;"-"&amp;I149</f>
        <v>Passive-Column</v>
      </c>
      <c r="K149" t="s">
        <v>29</v>
      </c>
      <c r="L149" t="s">
        <v>30</v>
      </c>
      <c r="M149" t="s">
        <v>31</v>
      </c>
      <c r="N149" t="s">
        <v>37</v>
      </c>
      <c r="O149" s="1">
        <v>9.6500000000000002E-2</v>
      </c>
    </row>
    <row r="150" spans="1:15" x14ac:dyDescent="0.55000000000000004">
      <c r="A150" t="s">
        <v>291</v>
      </c>
      <c r="B150">
        <v>71</v>
      </c>
      <c r="C150">
        <v>1</v>
      </c>
      <c r="D150" t="s">
        <v>283</v>
      </c>
      <c r="E150" t="s">
        <v>284</v>
      </c>
      <c r="F150" t="s">
        <v>285</v>
      </c>
      <c r="G150" t="s">
        <v>36</v>
      </c>
      <c r="H150" t="s">
        <v>19</v>
      </c>
      <c r="I150" t="s">
        <v>33</v>
      </c>
      <c r="J150" t="str">
        <f>H150&amp;"-"&amp;I150</f>
        <v>Passive-QuickExtract</v>
      </c>
      <c r="K150" t="s">
        <v>29</v>
      </c>
      <c r="L150" t="s">
        <v>30</v>
      </c>
      <c r="M150" t="s">
        <v>31</v>
      </c>
      <c r="N150" t="s">
        <v>39</v>
      </c>
      <c r="O150" s="1">
        <v>2.9000000000000001E-2</v>
      </c>
    </row>
    <row r="151" spans="1:15" x14ac:dyDescent="0.55000000000000004">
      <c r="A151" t="s">
        <v>292</v>
      </c>
      <c r="B151">
        <v>72</v>
      </c>
      <c r="C151">
        <v>1</v>
      </c>
      <c r="D151" t="s">
        <v>283</v>
      </c>
      <c r="E151" t="s">
        <v>284</v>
      </c>
      <c r="F151" t="s">
        <v>285</v>
      </c>
      <c r="G151" t="s">
        <v>41</v>
      </c>
      <c r="H151" t="s">
        <v>27</v>
      </c>
      <c r="I151" t="s">
        <v>20</v>
      </c>
      <c r="J151" t="str">
        <f>H151&amp;"-"&amp;I151</f>
        <v>Coffee-Column</v>
      </c>
      <c r="K151" t="s">
        <v>29</v>
      </c>
      <c r="L151" t="s">
        <v>30</v>
      </c>
      <c r="M151" t="s">
        <v>31</v>
      </c>
      <c r="N151" t="s">
        <v>42</v>
      </c>
      <c r="O151" s="1">
        <v>0.157</v>
      </c>
    </row>
    <row r="152" spans="1:15" x14ac:dyDescent="0.55000000000000004">
      <c r="A152" t="s">
        <v>293</v>
      </c>
      <c r="B152">
        <v>73</v>
      </c>
      <c r="C152">
        <v>1</v>
      </c>
      <c r="D152" t="s">
        <v>283</v>
      </c>
      <c r="E152" t="s">
        <v>284</v>
      </c>
      <c r="F152" t="s">
        <v>285</v>
      </c>
      <c r="G152" t="s">
        <v>41</v>
      </c>
      <c r="H152" t="s">
        <v>27</v>
      </c>
      <c r="I152" t="s">
        <v>33</v>
      </c>
      <c r="J152" t="str">
        <f>H152&amp;"-"&amp;I152</f>
        <v>Coffee-QuickExtract</v>
      </c>
      <c r="K152" t="s">
        <v>29</v>
      </c>
      <c r="L152" t="s">
        <v>30</v>
      </c>
      <c r="M152" t="s">
        <v>31</v>
      </c>
      <c r="N152" t="s">
        <v>44</v>
      </c>
      <c r="O152" s="1">
        <v>0.39800000000000002</v>
      </c>
    </row>
    <row r="153" spans="1:15" x14ac:dyDescent="0.55000000000000004">
      <c r="A153" t="s">
        <v>294</v>
      </c>
      <c r="B153">
        <v>74</v>
      </c>
      <c r="C153">
        <v>1</v>
      </c>
      <c r="D153" t="s">
        <v>283</v>
      </c>
      <c r="E153" t="s">
        <v>284</v>
      </c>
      <c r="F153" t="s">
        <v>285</v>
      </c>
      <c r="G153" t="s">
        <v>46</v>
      </c>
      <c r="H153" t="s">
        <v>47</v>
      </c>
      <c r="I153" t="s">
        <v>47</v>
      </c>
      <c r="J153" t="str">
        <f>H153&amp;"-"&amp;I153</f>
        <v>Sylphium-Sylphium</v>
      </c>
      <c r="K153" t="s">
        <v>22</v>
      </c>
      <c r="L153" t="s">
        <v>23</v>
      </c>
      <c r="M153" t="s">
        <v>24</v>
      </c>
      <c r="N153" t="s">
        <v>46</v>
      </c>
      <c r="O153" s="1">
        <v>4.1399999999999997</v>
      </c>
    </row>
    <row r="154" spans="1:15" x14ac:dyDescent="0.55000000000000004">
      <c r="A154" t="s">
        <v>295</v>
      </c>
      <c r="B154">
        <v>75</v>
      </c>
      <c r="C154">
        <v>1</v>
      </c>
      <c r="D154" t="s">
        <v>283</v>
      </c>
      <c r="E154" t="s">
        <v>284</v>
      </c>
      <c r="F154" t="s">
        <v>285</v>
      </c>
      <c r="G154" t="s">
        <v>74</v>
      </c>
      <c r="H154" t="s">
        <v>19</v>
      </c>
      <c r="I154" t="s">
        <v>20</v>
      </c>
      <c r="J154" t="str">
        <f>H154&amp;"-"&amp;I154</f>
        <v>Passive-Column</v>
      </c>
      <c r="K154" t="s">
        <v>22</v>
      </c>
      <c r="L154" t="s">
        <v>23</v>
      </c>
      <c r="M154" t="s">
        <v>24</v>
      </c>
      <c r="N154" t="s">
        <v>75</v>
      </c>
      <c r="O154" s="1">
        <v>8.5999999999999993E-2</v>
      </c>
    </row>
    <row r="155" spans="1:15" x14ac:dyDescent="0.55000000000000004">
      <c r="A155" t="s">
        <v>296</v>
      </c>
      <c r="B155">
        <v>77</v>
      </c>
      <c r="C155">
        <v>1</v>
      </c>
      <c r="D155" t="s">
        <v>283</v>
      </c>
      <c r="E155" t="s">
        <v>284</v>
      </c>
      <c r="F155" t="s">
        <v>285</v>
      </c>
      <c r="G155" t="s">
        <v>80</v>
      </c>
      <c r="H155" t="s">
        <v>27</v>
      </c>
      <c r="I155" t="s">
        <v>20</v>
      </c>
      <c r="J155" t="str">
        <f>H155&amp;"-"&amp;I155</f>
        <v>Coffee-Column</v>
      </c>
      <c r="K155" t="s">
        <v>29</v>
      </c>
      <c r="L155" t="s">
        <v>30</v>
      </c>
      <c r="M155" t="s">
        <v>31</v>
      </c>
      <c r="N155" t="s">
        <v>81</v>
      </c>
      <c r="O155" s="1">
        <v>0.53500000000000003</v>
      </c>
    </row>
    <row r="156" spans="1:15" x14ac:dyDescent="0.55000000000000004">
      <c r="A156" t="s">
        <v>297</v>
      </c>
      <c r="B156">
        <v>78</v>
      </c>
      <c r="C156">
        <v>1</v>
      </c>
      <c r="D156" t="s">
        <v>283</v>
      </c>
      <c r="E156" t="s">
        <v>284</v>
      </c>
      <c r="F156" t="s">
        <v>285</v>
      </c>
      <c r="G156" t="s">
        <v>80</v>
      </c>
      <c r="H156" t="s">
        <v>27</v>
      </c>
      <c r="I156" t="s">
        <v>33</v>
      </c>
      <c r="J156" t="str">
        <f>H156&amp;"-"&amp;I156</f>
        <v>Coffee-QuickExtract</v>
      </c>
      <c r="K156" t="s">
        <v>29</v>
      </c>
      <c r="L156" t="s">
        <v>30</v>
      </c>
      <c r="M156" t="s">
        <v>31</v>
      </c>
      <c r="N156" t="s">
        <v>83</v>
      </c>
      <c r="O156" s="1">
        <v>0.505</v>
      </c>
    </row>
    <row r="157" spans="1:15" x14ac:dyDescent="0.55000000000000004">
      <c r="A157" t="s">
        <v>298</v>
      </c>
      <c r="B157">
        <v>79</v>
      </c>
      <c r="C157">
        <v>1</v>
      </c>
      <c r="D157" t="s">
        <v>283</v>
      </c>
      <c r="E157" t="s">
        <v>284</v>
      </c>
      <c r="F157" t="s">
        <v>285</v>
      </c>
      <c r="G157" t="s">
        <v>85</v>
      </c>
      <c r="H157" t="s">
        <v>47</v>
      </c>
      <c r="I157" t="s">
        <v>47</v>
      </c>
      <c r="J157" t="str">
        <f>H157&amp;"-"&amp;I157</f>
        <v>Sylphium-Sylphium</v>
      </c>
      <c r="K157" t="s">
        <v>22</v>
      </c>
      <c r="L157" t="s">
        <v>23</v>
      </c>
      <c r="M157" t="s">
        <v>24</v>
      </c>
      <c r="N157" t="s">
        <v>85</v>
      </c>
      <c r="O157" s="1">
        <v>0.875</v>
      </c>
    </row>
    <row r="158" spans="1:15" x14ac:dyDescent="0.55000000000000004">
      <c r="A158" t="s">
        <v>299</v>
      </c>
      <c r="B158">
        <v>80</v>
      </c>
      <c r="C158">
        <v>1</v>
      </c>
      <c r="D158" t="s">
        <v>283</v>
      </c>
      <c r="E158" t="s">
        <v>284</v>
      </c>
      <c r="F158" t="s">
        <v>285</v>
      </c>
      <c r="G158" t="s">
        <v>49</v>
      </c>
      <c r="H158" t="s">
        <v>19</v>
      </c>
      <c r="I158" t="s">
        <v>20</v>
      </c>
      <c r="J158" t="str">
        <f>H158&amp;"-"&amp;I158</f>
        <v>Passive-Column</v>
      </c>
      <c r="K158" t="s">
        <v>29</v>
      </c>
      <c r="L158" t="s">
        <v>30</v>
      </c>
      <c r="M158" t="s">
        <v>31</v>
      </c>
      <c r="N158" t="s">
        <v>50</v>
      </c>
      <c r="O158" s="1">
        <v>0.17599999999999999</v>
      </c>
    </row>
    <row r="159" spans="1:15" x14ac:dyDescent="0.55000000000000004">
      <c r="A159" t="s">
        <v>300</v>
      </c>
      <c r="B159">
        <v>81</v>
      </c>
      <c r="C159">
        <v>1</v>
      </c>
      <c r="D159" t="s">
        <v>283</v>
      </c>
      <c r="E159" t="s">
        <v>284</v>
      </c>
      <c r="F159" t="s">
        <v>285</v>
      </c>
      <c r="G159" t="s">
        <v>49</v>
      </c>
      <c r="H159" t="s">
        <v>19</v>
      </c>
      <c r="I159" t="s">
        <v>33</v>
      </c>
      <c r="J159" t="str">
        <f>H159&amp;"-"&amp;I159</f>
        <v>Passive-QuickExtract</v>
      </c>
      <c r="K159" t="s">
        <v>29</v>
      </c>
      <c r="L159" t="s">
        <v>30</v>
      </c>
      <c r="M159" t="s">
        <v>31</v>
      </c>
      <c r="N159" t="s">
        <v>52</v>
      </c>
      <c r="O159" s="1">
        <v>3.15E-2</v>
      </c>
    </row>
    <row r="160" spans="1:15" x14ac:dyDescent="0.55000000000000004">
      <c r="A160" t="s">
        <v>301</v>
      </c>
      <c r="B160">
        <v>82</v>
      </c>
      <c r="C160">
        <v>1</v>
      </c>
      <c r="D160" t="s">
        <v>283</v>
      </c>
      <c r="E160" t="s">
        <v>284</v>
      </c>
      <c r="F160" t="s">
        <v>285</v>
      </c>
      <c r="G160" t="s">
        <v>54</v>
      </c>
      <c r="H160" t="s">
        <v>27</v>
      </c>
      <c r="I160" t="s">
        <v>20</v>
      </c>
      <c r="J160" t="str">
        <f>H160&amp;"-"&amp;I160</f>
        <v>Coffee-Column</v>
      </c>
      <c r="K160" t="s">
        <v>22</v>
      </c>
      <c r="L160" t="s">
        <v>23</v>
      </c>
      <c r="M160" t="s">
        <v>24</v>
      </c>
      <c r="N160" t="s">
        <v>55</v>
      </c>
      <c r="O160" s="1">
        <v>1.31</v>
      </c>
    </row>
    <row r="161" spans="1:15" x14ac:dyDescent="0.55000000000000004">
      <c r="A161" t="s">
        <v>302</v>
      </c>
      <c r="B161">
        <v>83</v>
      </c>
      <c r="C161">
        <v>1</v>
      </c>
      <c r="D161" t="s">
        <v>283</v>
      </c>
      <c r="E161" t="s">
        <v>284</v>
      </c>
      <c r="F161" t="s">
        <v>285</v>
      </c>
      <c r="G161" t="s">
        <v>57</v>
      </c>
      <c r="H161" t="s">
        <v>27</v>
      </c>
      <c r="I161" t="s">
        <v>33</v>
      </c>
      <c r="J161" t="str">
        <f>H161&amp;"-"&amp;I161</f>
        <v>Coffee-QuickExtract</v>
      </c>
      <c r="K161" t="s">
        <v>22</v>
      </c>
      <c r="L161" t="s">
        <v>23</v>
      </c>
      <c r="M161" t="s">
        <v>24</v>
      </c>
      <c r="N161" t="s">
        <v>58</v>
      </c>
      <c r="O161" s="1">
        <v>0.62</v>
      </c>
    </row>
    <row r="162" spans="1:15" x14ac:dyDescent="0.55000000000000004">
      <c r="A162" t="s">
        <v>303</v>
      </c>
      <c r="B162">
        <v>85</v>
      </c>
      <c r="C162">
        <v>1</v>
      </c>
      <c r="D162" t="s">
        <v>283</v>
      </c>
      <c r="E162" t="s">
        <v>284</v>
      </c>
      <c r="F162" t="s">
        <v>285</v>
      </c>
      <c r="G162" t="s">
        <v>18</v>
      </c>
      <c r="H162" t="s">
        <v>19</v>
      </c>
      <c r="I162" t="s">
        <v>20</v>
      </c>
      <c r="J162" t="str">
        <f>H162&amp;"-"&amp;I162</f>
        <v>Passive-Column</v>
      </c>
      <c r="K162" t="s">
        <v>22</v>
      </c>
      <c r="L162" t="s">
        <v>23</v>
      </c>
      <c r="M162" t="s">
        <v>24</v>
      </c>
      <c r="N162" t="s">
        <v>21</v>
      </c>
      <c r="O162" s="1">
        <v>8.7499999999999994E-2</v>
      </c>
    </row>
    <row r="163" spans="1:15" x14ac:dyDescent="0.55000000000000004">
      <c r="A163" t="s">
        <v>304</v>
      </c>
      <c r="B163">
        <v>86</v>
      </c>
      <c r="C163">
        <v>1</v>
      </c>
      <c r="D163" t="s">
        <v>283</v>
      </c>
      <c r="E163" t="s">
        <v>284</v>
      </c>
      <c r="F163" t="s">
        <v>285</v>
      </c>
      <c r="G163" t="s">
        <v>18</v>
      </c>
      <c r="H163" t="s">
        <v>19</v>
      </c>
      <c r="I163" t="s">
        <v>33</v>
      </c>
      <c r="J163" t="str">
        <f>H163&amp;"-"&amp;I163</f>
        <v>Passive-QuickExtract</v>
      </c>
      <c r="K163" t="s">
        <v>29</v>
      </c>
      <c r="L163" t="s">
        <v>30</v>
      </c>
      <c r="M163" t="s">
        <v>24</v>
      </c>
      <c r="N163" t="s">
        <v>96</v>
      </c>
      <c r="O163" s="1">
        <v>3.2000000000000001E-2</v>
      </c>
    </row>
    <row r="164" spans="1:15" x14ac:dyDescent="0.55000000000000004">
      <c r="A164" t="s">
        <v>305</v>
      </c>
      <c r="B164">
        <v>87</v>
      </c>
      <c r="C164">
        <v>1</v>
      </c>
      <c r="D164" t="s">
        <v>283</v>
      </c>
      <c r="E164" t="s">
        <v>284</v>
      </c>
      <c r="F164" t="s">
        <v>285</v>
      </c>
      <c r="G164" t="s">
        <v>26</v>
      </c>
      <c r="H164" t="s">
        <v>27</v>
      </c>
      <c r="I164" t="s">
        <v>20</v>
      </c>
      <c r="J164" t="str">
        <f>H164&amp;"-"&amp;I164</f>
        <v>Coffee-Column</v>
      </c>
      <c r="K164" t="s">
        <v>29</v>
      </c>
      <c r="L164" t="s">
        <v>30</v>
      </c>
      <c r="M164" t="s">
        <v>31</v>
      </c>
      <c r="N164" t="s">
        <v>28</v>
      </c>
      <c r="O164" s="1">
        <v>1.73</v>
      </c>
    </row>
    <row r="165" spans="1:15" x14ac:dyDescent="0.55000000000000004">
      <c r="A165" t="s">
        <v>306</v>
      </c>
      <c r="B165">
        <v>88</v>
      </c>
      <c r="C165">
        <v>1</v>
      </c>
      <c r="D165" t="s">
        <v>283</v>
      </c>
      <c r="E165" t="s">
        <v>284</v>
      </c>
      <c r="F165" t="s">
        <v>285</v>
      </c>
      <c r="G165" t="s">
        <v>26</v>
      </c>
      <c r="H165" t="s">
        <v>27</v>
      </c>
      <c r="I165" t="s">
        <v>33</v>
      </c>
      <c r="J165" t="str">
        <f>H165&amp;"-"&amp;I165</f>
        <v>Coffee-QuickExtract</v>
      </c>
      <c r="K165" t="s">
        <v>22</v>
      </c>
      <c r="L165" t="s">
        <v>23</v>
      </c>
      <c r="M165" t="s">
        <v>31</v>
      </c>
      <c r="N165" t="s">
        <v>34</v>
      </c>
      <c r="O165" s="1">
        <v>0.98499999999999999</v>
      </c>
    </row>
    <row r="166" spans="1:15" x14ac:dyDescent="0.55000000000000004">
      <c r="A166" t="s">
        <v>307</v>
      </c>
      <c r="B166">
        <v>90</v>
      </c>
      <c r="C166">
        <v>1</v>
      </c>
      <c r="D166" t="s">
        <v>283</v>
      </c>
      <c r="E166" t="s">
        <v>284</v>
      </c>
      <c r="F166" t="s">
        <v>285</v>
      </c>
      <c r="G166" t="s">
        <v>87</v>
      </c>
      <c r="H166" t="s">
        <v>19</v>
      </c>
      <c r="I166" t="s">
        <v>20</v>
      </c>
      <c r="J166" t="str">
        <f>H166&amp;"-"&amp;I166</f>
        <v>Passive-Column</v>
      </c>
      <c r="K166" t="s">
        <v>22</v>
      </c>
      <c r="L166" t="s">
        <v>23</v>
      </c>
      <c r="M166" t="s">
        <v>24</v>
      </c>
      <c r="N166" t="s">
        <v>88</v>
      </c>
      <c r="O166" s="1">
        <v>0.10100000000000001</v>
      </c>
    </row>
    <row r="167" spans="1:15" x14ac:dyDescent="0.55000000000000004">
      <c r="A167" t="s">
        <v>308</v>
      </c>
      <c r="B167">
        <v>91</v>
      </c>
      <c r="C167">
        <v>1</v>
      </c>
      <c r="D167" t="s">
        <v>283</v>
      </c>
      <c r="E167" t="s">
        <v>284</v>
      </c>
      <c r="F167" t="s">
        <v>285</v>
      </c>
      <c r="G167" t="s">
        <v>87</v>
      </c>
      <c r="H167" t="s">
        <v>19</v>
      </c>
      <c r="I167" t="s">
        <v>33</v>
      </c>
      <c r="J167" t="str">
        <f>H167&amp;"-"&amp;I167</f>
        <v>Passive-QuickExtract</v>
      </c>
      <c r="K167" t="s">
        <v>22</v>
      </c>
      <c r="L167" t="s">
        <v>23</v>
      </c>
      <c r="M167" t="s">
        <v>24</v>
      </c>
      <c r="N167" t="s">
        <v>130</v>
      </c>
      <c r="O167" s="1">
        <v>3.7999999999999999E-2</v>
      </c>
    </row>
    <row r="168" spans="1:15" x14ac:dyDescent="0.55000000000000004">
      <c r="A168" t="s">
        <v>309</v>
      </c>
      <c r="B168">
        <v>92</v>
      </c>
      <c r="C168">
        <v>1</v>
      </c>
      <c r="D168" t="s">
        <v>283</v>
      </c>
      <c r="E168" t="s">
        <v>284</v>
      </c>
      <c r="F168" t="s">
        <v>285</v>
      </c>
      <c r="G168" t="s">
        <v>90</v>
      </c>
      <c r="H168" t="s">
        <v>27</v>
      </c>
      <c r="I168" t="s">
        <v>20</v>
      </c>
      <c r="J168" t="str">
        <f>H168&amp;"-"&amp;I168</f>
        <v>Coffee-Column</v>
      </c>
      <c r="K168" t="s">
        <v>22</v>
      </c>
      <c r="L168" t="s">
        <v>23</v>
      </c>
      <c r="M168" t="s">
        <v>24</v>
      </c>
      <c r="N168" t="s">
        <v>91</v>
      </c>
      <c r="O168" s="1">
        <v>0.88</v>
      </c>
    </row>
    <row r="169" spans="1:15" x14ac:dyDescent="0.55000000000000004">
      <c r="A169" t="s">
        <v>310</v>
      </c>
      <c r="B169">
        <v>93</v>
      </c>
      <c r="C169">
        <v>1</v>
      </c>
      <c r="D169" t="s">
        <v>283</v>
      </c>
      <c r="E169" t="s">
        <v>284</v>
      </c>
      <c r="F169" t="s">
        <v>285</v>
      </c>
      <c r="G169" t="s">
        <v>90</v>
      </c>
      <c r="H169" t="s">
        <v>27</v>
      </c>
      <c r="I169" t="s">
        <v>33</v>
      </c>
      <c r="J169" t="str">
        <f>H169&amp;"-"&amp;I169</f>
        <v>Coffee-QuickExtract</v>
      </c>
      <c r="K169" t="s">
        <v>29</v>
      </c>
      <c r="L169" t="s">
        <v>30</v>
      </c>
      <c r="M169" t="s">
        <v>24</v>
      </c>
      <c r="N169" t="s">
        <v>93</v>
      </c>
      <c r="O169" s="1">
        <v>0.53500000000000003</v>
      </c>
    </row>
    <row r="170" spans="1:15" x14ac:dyDescent="0.55000000000000004">
      <c r="A170" t="s">
        <v>311</v>
      </c>
      <c r="B170">
        <v>94</v>
      </c>
      <c r="C170">
        <v>1</v>
      </c>
      <c r="D170" t="s">
        <v>283</v>
      </c>
      <c r="E170" t="s">
        <v>284</v>
      </c>
      <c r="F170" t="s">
        <v>285</v>
      </c>
      <c r="G170" t="s">
        <v>312</v>
      </c>
      <c r="H170" t="s">
        <v>47</v>
      </c>
      <c r="I170" t="s">
        <v>47</v>
      </c>
      <c r="J170" t="str">
        <f>H170&amp;"-"&amp;I170</f>
        <v>Sylphium-Sylphium</v>
      </c>
      <c r="K170" t="s">
        <v>22</v>
      </c>
      <c r="L170" t="s">
        <v>23</v>
      </c>
      <c r="M170" t="s">
        <v>31</v>
      </c>
      <c r="N170" t="s">
        <v>312</v>
      </c>
      <c r="O170" s="1">
        <v>0.65500000000000003</v>
      </c>
    </row>
    <row r="171" spans="1:15" x14ac:dyDescent="0.55000000000000004">
      <c r="A171" t="s">
        <v>315</v>
      </c>
      <c r="B171">
        <v>65</v>
      </c>
      <c r="C171">
        <v>2</v>
      </c>
      <c r="D171" t="s">
        <v>283</v>
      </c>
      <c r="E171" t="s">
        <v>284</v>
      </c>
      <c r="F171" t="s">
        <v>285</v>
      </c>
      <c r="G171" t="s">
        <v>62</v>
      </c>
      <c r="H171" t="s">
        <v>19</v>
      </c>
      <c r="I171" t="s">
        <v>20</v>
      </c>
      <c r="J171" t="str">
        <f>H171&amp;"-"&amp;I171</f>
        <v>Passive-Column</v>
      </c>
      <c r="K171" t="s">
        <v>29</v>
      </c>
      <c r="L171" t="s">
        <v>30</v>
      </c>
      <c r="M171" t="s">
        <v>31</v>
      </c>
      <c r="N171" t="s">
        <v>63</v>
      </c>
      <c r="O171" s="1">
        <v>0.124</v>
      </c>
    </row>
    <row r="172" spans="1:15" x14ac:dyDescent="0.55000000000000004">
      <c r="A172" t="s">
        <v>316</v>
      </c>
      <c r="B172">
        <v>66</v>
      </c>
      <c r="C172">
        <v>2</v>
      </c>
      <c r="D172" t="s">
        <v>283</v>
      </c>
      <c r="E172" t="s">
        <v>284</v>
      </c>
      <c r="F172" t="s">
        <v>285</v>
      </c>
      <c r="G172" t="s">
        <v>62</v>
      </c>
      <c r="H172" t="s">
        <v>19</v>
      </c>
      <c r="I172" t="s">
        <v>33</v>
      </c>
      <c r="J172" t="str">
        <f>H172&amp;"-"&amp;I172</f>
        <v>Passive-QuickExtract</v>
      </c>
      <c r="K172" t="s">
        <v>29</v>
      </c>
      <c r="L172" t="s">
        <v>30</v>
      </c>
      <c r="M172" t="s">
        <v>31</v>
      </c>
      <c r="N172" t="s">
        <v>65</v>
      </c>
      <c r="O172" s="1">
        <v>2.6499999999999999E-2</v>
      </c>
    </row>
    <row r="173" spans="1:15" x14ac:dyDescent="0.55000000000000004">
      <c r="A173" t="s">
        <v>317</v>
      </c>
      <c r="B173">
        <v>67</v>
      </c>
      <c r="C173">
        <v>2</v>
      </c>
      <c r="D173" t="s">
        <v>283</v>
      </c>
      <c r="E173" t="s">
        <v>284</v>
      </c>
      <c r="F173" t="s">
        <v>285</v>
      </c>
      <c r="G173" t="s">
        <v>67</v>
      </c>
      <c r="H173" t="s">
        <v>27</v>
      </c>
      <c r="I173" t="s">
        <v>20</v>
      </c>
      <c r="J173" t="str">
        <f>H173&amp;"-"&amp;I173</f>
        <v>Coffee-Column</v>
      </c>
      <c r="K173" t="s">
        <v>22</v>
      </c>
      <c r="L173" t="s">
        <v>23</v>
      </c>
      <c r="M173" t="s">
        <v>24</v>
      </c>
      <c r="N173" t="s">
        <v>68</v>
      </c>
      <c r="O173" s="1">
        <v>2.84</v>
      </c>
    </row>
    <row r="174" spans="1:15" x14ac:dyDescent="0.55000000000000004">
      <c r="A174" t="s">
        <v>318</v>
      </c>
      <c r="B174">
        <v>68</v>
      </c>
      <c r="C174">
        <v>2</v>
      </c>
      <c r="D174" t="s">
        <v>283</v>
      </c>
      <c r="E174" t="s">
        <v>284</v>
      </c>
      <c r="F174" t="s">
        <v>285</v>
      </c>
      <c r="G174" t="s">
        <v>67</v>
      </c>
      <c r="H174" t="s">
        <v>27</v>
      </c>
      <c r="I174" t="s">
        <v>33</v>
      </c>
      <c r="J174" t="str">
        <f>H174&amp;"-"&amp;I174</f>
        <v>Coffee-QuickExtract</v>
      </c>
      <c r="K174" t="s">
        <v>22</v>
      </c>
      <c r="L174" t="s">
        <v>23</v>
      </c>
      <c r="M174" t="s">
        <v>24</v>
      </c>
      <c r="N174" t="s">
        <v>70</v>
      </c>
      <c r="O174" s="1">
        <v>0.439</v>
      </c>
    </row>
    <row r="175" spans="1:15" x14ac:dyDescent="0.55000000000000004">
      <c r="A175" t="s">
        <v>319</v>
      </c>
      <c r="B175">
        <v>69</v>
      </c>
      <c r="C175">
        <v>2</v>
      </c>
      <c r="D175" t="s">
        <v>283</v>
      </c>
      <c r="E175" t="s">
        <v>284</v>
      </c>
      <c r="F175" t="s">
        <v>285</v>
      </c>
      <c r="G175" t="s">
        <v>72</v>
      </c>
      <c r="H175" t="s">
        <v>47</v>
      </c>
      <c r="I175" t="s">
        <v>47</v>
      </c>
      <c r="J175" t="str">
        <f>H175&amp;"-"&amp;I175</f>
        <v>Sylphium-Sylphium</v>
      </c>
      <c r="K175" t="s">
        <v>29</v>
      </c>
      <c r="L175" t="s">
        <v>30</v>
      </c>
      <c r="M175" t="s">
        <v>31</v>
      </c>
      <c r="N175" t="s">
        <v>72</v>
      </c>
      <c r="O175" s="1">
        <v>2.06</v>
      </c>
    </row>
    <row r="176" spans="1:15" x14ac:dyDescent="0.55000000000000004">
      <c r="A176" t="s">
        <v>320</v>
      </c>
      <c r="B176">
        <v>70</v>
      </c>
      <c r="C176">
        <v>2</v>
      </c>
      <c r="D176" t="s">
        <v>283</v>
      </c>
      <c r="E176" t="s">
        <v>284</v>
      </c>
      <c r="F176" t="s">
        <v>285</v>
      </c>
      <c r="G176" t="s">
        <v>36</v>
      </c>
      <c r="H176" t="s">
        <v>19</v>
      </c>
      <c r="I176" t="s">
        <v>20</v>
      </c>
      <c r="J176" t="str">
        <f>H176&amp;"-"&amp;I176</f>
        <v>Passive-Column</v>
      </c>
      <c r="K176" t="s">
        <v>29</v>
      </c>
      <c r="L176" t="s">
        <v>30</v>
      </c>
      <c r="M176" t="s">
        <v>31</v>
      </c>
      <c r="N176" t="s">
        <v>37</v>
      </c>
      <c r="O176" s="1">
        <v>9.6500000000000002E-2</v>
      </c>
    </row>
    <row r="177" spans="1:15" x14ac:dyDescent="0.55000000000000004">
      <c r="A177" t="s">
        <v>321</v>
      </c>
      <c r="B177">
        <v>71</v>
      </c>
      <c r="C177">
        <v>2</v>
      </c>
      <c r="D177" t="s">
        <v>283</v>
      </c>
      <c r="E177" t="s">
        <v>284</v>
      </c>
      <c r="F177" t="s">
        <v>285</v>
      </c>
      <c r="G177" t="s">
        <v>36</v>
      </c>
      <c r="H177" t="s">
        <v>19</v>
      </c>
      <c r="I177" t="s">
        <v>33</v>
      </c>
      <c r="J177" t="str">
        <f>H177&amp;"-"&amp;I177</f>
        <v>Passive-QuickExtract</v>
      </c>
      <c r="K177" t="s">
        <v>29</v>
      </c>
      <c r="L177" t="s">
        <v>30</v>
      </c>
      <c r="M177" t="s">
        <v>31</v>
      </c>
      <c r="N177" t="s">
        <v>39</v>
      </c>
      <c r="O177" s="1">
        <v>2.9000000000000001E-2</v>
      </c>
    </row>
    <row r="178" spans="1:15" x14ac:dyDescent="0.55000000000000004">
      <c r="A178" t="s">
        <v>322</v>
      </c>
      <c r="B178">
        <v>72</v>
      </c>
      <c r="C178">
        <v>2</v>
      </c>
      <c r="D178" t="s">
        <v>283</v>
      </c>
      <c r="E178" t="s">
        <v>284</v>
      </c>
      <c r="F178" t="s">
        <v>285</v>
      </c>
      <c r="G178" t="s">
        <v>41</v>
      </c>
      <c r="H178" t="s">
        <v>27</v>
      </c>
      <c r="I178" t="s">
        <v>20</v>
      </c>
      <c r="J178" t="str">
        <f>H178&amp;"-"&amp;I178</f>
        <v>Coffee-Column</v>
      </c>
      <c r="K178" t="s">
        <v>29</v>
      </c>
      <c r="L178" t="s">
        <v>30</v>
      </c>
      <c r="M178" t="s">
        <v>31</v>
      </c>
      <c r="N178" t="s">
        <v>42</v>
      </c>
      <c r="O178" s="1">
        <v>0.157</v>
      </c>
    </row>
    <row r="179" spans="1:15" x14ac:dyDescent="0.55000000000000004">
      <c r="A179" t="s">
        <v>323</v>
      </c>
      <c r="B179">
        <v>73</v>
      </c>
      <c r="C179">
        <v>2</v>
      </c>
      <c r="D179" t="s">
        <v>283</v>
      </c>
      <c r="E179" t="s">
        <v>284</v>
      </c>
      <c r="F179" t="s">
        <v>285</v>
      </c>
      <c r="G179" t="s">
        <v>41</v>
      </c>
      <c r="H179" t="s">
        <v>27</v>
      </c>
      <c r="I179" t="s">
        <v>33</v>
      </c>
      <c r="J179" t="str">
        <f>H179&amp;"-"&amp;I179</f>
        <v>Coffee-QuickExtract</v>
      </c>
      <c r="K179" t="s">
        <v>29</v>
      </c>
      <c r="L179" t="s">
        <v>30</v>
      </c>
      <c r="M179" t="s">
        <v>31</v>
      </c>
      <c r="N179" t="s">
        <v>44</v>
      </c>
      <c r="O179" s="1">
        <v>0.39800000000000002</v>
      </c>
    </row>
    <row r="180" spans="1:15" x14ac:dyDescent="0.55000000000000004">
      <c r="A180" t="s">
        <v>324</v>
      </c>
      <c r="B180">
        <v>74</v>
      </c>
      <c r="C180">
        <v>2</v>
      </c>
      <c r="D180" t="s">
        <v>283</v>
      </c>
      <c r="E180" t="s">
        <v>284</v>
      </c>
      <c r="F180" t="s">
        <v>285</v>
      </c>
      <c r="G180" t="s">
        <v>46</v>
      </c>
      <c r="H180" t="s">
        <v>47</v>
      </c>
      <c r="I180" t="s">
        <v>47</v>
      </c>
      <c r="J180" t="str">
        <f>H180&amp;"-"&amp;I180</f>
        <v>Sylphium-Sylphium</v>
      </c>
      <c r="K180" t="s">
        <v>22</v>
      </c>
      <c r="L180" t="s">
        <v>23</v>
      </c>
      <c r="M180" t="s">
        <v>24</v>
      </c>
      <c r="N180" t="s">
        <v>46</v>
      </c>
      <c r="O180" s="1">
        <v>4.1399999999999997</v>
      </c>
    </row>
    <row r="181" spans="1:15" x14ac:dyDescent="0.55000000000000004">
      <c r="A181" t="s">
        <v>325</v>
      </c>
      <c r="B181">
        <v>75</v>
      </c>
      <c r="C181">
        <v>2</v>
      </c>
      <c r="D181" t="s">
        <v>283</v>
      </c>
      <c r="E181" t="s">
        <v>284</v>
      </c>
      <c r="F181" t="s">
        <v>285</v>
      </c>
      <c r="G181" t="s">
        <v>74</v>
      </c>
      <c r="H181" t="s">
        <v>19</v>
      </c>
      <c r="I181" t="s">
        <v>20</v>
      </c>
      <c r="J181" t="str">
        <f>H181&amp;"-"&amp;I181</f>
        <v>Passive-Column</v>
      </c>
      <c r="K181" t="s">
        <v>22</v>
      </c>
      <c r="L181" t="s">
        <v>23</v>
      </c>
      <c r="M181" t="s">
        <v>24</v>
      </c>
      <c r="N181" t="s">
        <v>75</v>
      </c>
      <c r="O181" s="1">
        <v>8.5999999999999993E-2</v>
      </c>
    </row>
    <row r="182" spans="1:15" x14ac:dyDescent="0.55000000000000004">
      <c r="A182" t="s">
        <v>326</v>
      </c>
      <c r="B182">
        <v>77</v>
      </c>
      <c r="C182">
        <v>2</v>
      </c>
      <c r="D182" t="s">
        <v>283</v>
      </c>
      <c r="E182" t="s">
        <v>284</v>
      </c>
      <c r="F182" t="s">
        <v>285</v>
      </c>
      <c r="G182" t="s">
        <v>80</v>
      </c>
      <c r="H182" t="s">
        <v>27</v>
      </c>
      <c r="I182" t="s">
        <v>20</v>
      </c>
      <c r="J182" t="str">
        <f>H182&amp;"-"&amp;I182</f>
        <v>Coffee-Column</v>
      </c>
      <c r="K182" t="s">
        <v>29</v>
      </c>
      <c r="L182" t="s">
        <v>30</v>
      </c>
      <c r="M182" t="s">
        <v>31</v>
      </c>
      <c r="N182" t="s">
        <v>81</v>
      </c>
      <c r="O182" s="1">
        <v>0.53500000000000003</v>
      </c>
    </row>
    <row r="183" spans="1:15" x14ac:dyDescent="0.55000000000000004">
      <c r="A183" t="s">
        <v>327</v>
      </c>
      <c r="B183">
        <v>78</v>
      </c>
      <c r="C183">
        <v>2</v>
      </c>
      <c r="D183" t="s">
        <v>283</v>
      </c>
      <c r="E183" t="s">
        <v>284</v>
      </c>
      <c r="F183" t="s">
        <v>285</v>
      </c>
      <c r="G183" t="s">
        <v>80</v>
      </c>
      <c r="H183" t="s">
        <v>27</v>
      </c>
      <c r="I183" t="s">
        <v>33</v>
      </c>
      <c r="J183" t="str">
        <f>H183&amp;"-"&amp;I183</f>
        <v>Coffee-QuickExtract</v>
      </c>
      <c r="K183" t="s">
        <v>29</v>
      </c>
      <c r="L183" t="s">
        <v>30</v>
      </c>
      <c r="M183" t="s">
        <v>31</v>
      </c>
      <c r="N183" t="s">
        <v>83</v>
      </c>
      <c r="O183" s="1">
        <v>0.505</v>
      </c>
    </row>
    <row r="184" spans="1:15" x14ac:dyDescent="0.55000000000000004">
      <c r="A184" t="s">
        <v>328</v>
      </c>
      <c r="B184">
        <v>79</v>
      </c>
      <c r="C184">
        <v>2</v>
      </c>
      <c r="D184" t="s">
        <v>283</v>
      </c>
      <c r="E184" t="s">
        <v>284</v>
      </c>
      <c r="F184" t="s">
        <v>285</v>
      </c>
      <c r="G184" t="s">
        <v>85</v>
      </c>
      <c r="H184" t="s">
        <v>47</v>
      </c>
      <c r="I184" t="s">
        <v>47</v>
      </c>
      <c r="J184" t="str">
        <f>H184&amp;"-"&amp;I184</f>
        <v>Sylphium-Sylphium</v>
      </c>
      <c r="K184" t="s">
        <v>22</v>
      </c>
      <c r="L184" t="s">
        <v>23</v>
      </c>
      <c r="M184" t="s">
        <v>24</v>
      </c>
      <c r="N184" t="s">
        <v>85</v>
      </c>
      <c r="O184" s="1">
        <v>0.875</v>
      </c>
    </row>
    <row r="185" spans="1:15" x14ac:dyDescent="0.55000000000000004">
      <c r="A185" t="s">
        <v>329</v>
      </c>
      <c r="B185">
        <v>80</v>
      </c>
      <c r="C185">
        <v>2</v>
      </c>
      <c r="D185" t="s">
        <v>283</v>
      </c>
      <c r="E185" t="s">
        <v>284</v>
      </c>
      <c r="F185" t="s">
        <v>285</v>
      </c>
      <c r="G185" t="s">
        <v>49</v>
      </c>
      <c r="H185" t="s">
        <v>19</v>
      </c>
      <c r="I185" t="s">
        <v>20</v>
      </c>
      <c r="J185" t="str">
        <f>H185&amp;"-"&amp;I185</f>
        <v>Passive-Column</v>
      </c>
      <c r="K185" t="s">
        <v>29</v>
      </c>
      <c r="L185" t="s">
        <v>30</v>
      </c>
      <c r="M185" t="s">
        <v>31</v>
      </c>
      <c r="N185" t="s">
        <v>50</v>
      </c>
      <c r="O185" s="1">
        <v>0.17599999999999999</v>
      </c>
    </row>
    <row r="186" spans="1:15" x14ac:dyDescent="0.55000000000000004">
      <c r="A186" t="s">
        <v>330</v>
      </c>
      <c r="B186">
        <v>81</v>
      </c>
      <c r="C186">
        <v>2</v>
      </c>
      <c r="D186" t="s">
        <v>283</v>
      </c>
      <c r="E186" t="s">
        <v>284</v>
      </c>
      <c r="F186" t="s">
        <v>285</v>
      </c>
      <c r="G186" t="s">
        <v>49</v>
      </c>
      <c r="H186" t="s">
        <v>19</v>
      </c>
      <c r="I186" t="s">
        <v>33</v>
      </c>
      <c r="J186" t="str">
        <f>H186&amp;"-"&amp;I186</f>
        <v>Passive-QuickExtract</v>
      </c>
      <c r="K186" t="s">
        <v>29</v>
      </c>
      <c r="L186" t="s">
        <v>30</v>
      </c>
      <c r="M186" t="s">
        <v>31</v>
      </c>
      <c r="N186" t="s">
        <v>52</v>
      </c>
      <c r="O186" s="1">
        <v>3.15E-2</v>
      </c>
    </row>
    <row r="187" spans="1:15" x14ac:dyDescent="0.55000000000000004">
      <c r="A187" t="s">
        <v>331</v>
      </c>
      <c r="B187">
        <v>82</v>
      </c>
      <c r="C187">
        <v>2</v>
      </c>
      <c r="D187" t="s">
        <v>283</v>
      </c>
      <c r="E187" t="s">
        <v>284</v>
      </c>
      <c r="F187" t="s">
        <v>285</v>
      </c>
      <c r="G187" t="s">
        <v>54</v>
      </c>
      <c r="H187" t="s">
        <v>27</v>
      </c>
      <c r="I187" t="s">
        <v>20</v>
      </c>
      <c r="J187" t="str">
        <f>H187&amp;"-"&amp;I187</f>
        <v>Coffee-Column</v>
      </c>
      <c r="K187" t="s">
        <v>22</v>
      </c>
      <c r="L187" t="s">
        <v>23</v>
      </c>
      <c r="M187" t="s">
        <v>24</v>
      </c>
      <c r="N187" t="s">
        <v>55</v>
      </c>
      <c r="O187" s="1">
        <v>1.31</v>
      </c>
    </row>
    <row r="188" spans="1:15" x14ac:dyDescent="0.55000000000000004">
      <c r="A188" t="s">
        <v>332</v>
      </c>
      <c r="B188">
        <v>83</v>
      </c>
      <c r="C188">
        <v>2</v>
      </c>
      <c r="D188" t="s">
        <v>283</v>
      </c>
      <c r="E188" t="s">
        <v>284</v>
      </c>
      <c r="F188" t="s">
        <v>285</v>
      </c>
      <c r="G188" t="s">
        <v>57</v>
      </c>
      <c r="H188" t="s">
        <v>27</v>
      </c>
      <c r="I188" t="s">
        <v>33</v>
      </c>
      <c r="J188" t="str">
        <f>H188&amp;"-"&amp;I188</f>
        <v>Coffee-QuickExtract</v>
      </c>
      <c r="K188" t="s">
        <v>22</v>
      </c>
      <c r="L188" t="s">
        <v>23</v>
      </c>
      <c r="M188" t="s">
        <v>24</v>
      </c>
      <c r="N188" t="s">
        <v>58</v>
      </c>
      <c r="O188" s="1">
        <v>0.62</v>
      </c>
    </row>
    <row r="189" spans="1:15" x14ac:dyDescent="0.55000000000000004">
      <c r="A189" t="s">
        <v>333</v>
      </c>
      <c r="B189">
        <v>85</v>
      </c>
      <c r="C189">
        <v>2</v>
      </c>
      <c r="D189" t="s">
        <v>283</v>
      </c>
      <c r="E189" t="s">
        <v>284</v>
      </c>
      <c r="F189" t="s">
        <v>285</v>
      </c>
      <c r="G189" t="s">
        <v>18</v>
      </c>
      <c r="H189" t="s">
        <v>19</v>
      </c>
      <c r="I189" t="s">
        <v>20</v>
      </c>
      <c r="J189" t="str">
        <f>H189&amp;"-"&amp;I189</f>
        <v>Passive-Column</v>
      </c>
      <c r="K189" t="s">
        <v>22</v>
      </c>
      <c r="L189" t="s">
        <v>23</v>
      </c>
      <c r="M189" t="s">
        <v>24</v>
      </c>
      <c r="N189" t="s">
        <v>21</v>
      </c>
      <c r="O189" s="1">
        <v>8.7499999999999994E-2</v>
      </c>
    </row>
    <row r="190" spans="1:15" x14ac:dyDescent="0.55000000000000004">
      <c r="A190" t="s">
        <v>334</v>
      </c>
      <c r="B190">
        <v>86</v>
      </c>
      <c r="C190">
        <v>2</v>
      </c>
      <c r="D190" t="s">
        <v>283</v>
      </c>
      <c r="E190" t="s">
        <v>284</v>
      </c>
      <c r="F190" t="s">
        <v>285</v>
      </c>
      <c r="G190" t="s">
        <v>18</v>
      </c>
      <c r="H190" t="s">
        <v>19</v>
      </c>
      <c r="I190" t="s">
        <v>33</v>
      </c>
      <c r="J190" t="str">
        <f>H190&amp;"-"&amp;I190</f>
        <v>Passive-QuickExtract</v>
      </c>
      <c r="K190" t="s">
        <v>29</v>
      </c>
      <c r="L190" t="s">
        <v>30</v>
      </c>
      <c r="M190" t="s">
        <v>24</v>
      </c>
      <c r="N190" t="s">
        <v>96</v>
      </c>
      <c r="O190" s="1">
        <v>3.2000000000000001E-2</v>
      </c>
    </row>
    <row r="191" spans="1:15" x14ac:dyDescent="0.55000000000000004">
      <c r="A191" t="s">
        <v>335</v>
      </c>
      <c r="B191">
        <v>87</v>
      </c>
      <c r="C191">
        <v>2</v>
      </c>
      <c r="D191" t="s">
        <v>283</v>
      </c>
      <c r="E191" t="s">
        <v>284</v>
      </c>
      <c r="F191" t="s">
        <v>285</v>
      </c>
      <c r="G191" t="s">
        <v>26</v>
      </c>
      <c r="H191" t="s">
        <v>27</v>
      </c>
      <c r="I191" t="s">
        <v>20</v>
      </c>
      <c r="J191" t="str">
        <f>H191&amp;"-"&amp;I191</f>
        <v>Coffee-Column</v>
      </c>
      <c r="K191" t="s">
        <v>29</v>
      </c>
      <c r="L191" t="s">
        <v>30</v>
      </c>
      <c r="M191" t="s">
        <v>31</v>
      </c>
      <c r="N191" t="s">
        <v>28</v>
      </c>
      <c r="O191" s="1">
        <v>1.73</v>
      </c>
    </row>
    <row r="192" spans="1:15" x14ac:dyDescent="0.55000000000000004">
      <c r="A192" t="s">
        <v>336</v>
      </c>
      <c r="B192">
        <v>88</v>
      </c>
      <c r="C192">
        <v>2</v>
      </c>
      <c r="D192" t="s">
        <v>283</v>
      </c>
      <c r="E192" t="s">
        <v>284</v>
      </c>
      <c r="F192" t="s">
        <v>285</v>
      </c>
      <c r="G192" t="s">
        <v>26</v>
      </c>
      <c r="H192" t="s">
        <v>27</v>
      </c>
      <c r="I192" t="s">
        <v>33</v>
      </c>
      <c r="J192" t="str">
        <f>H192&amp;"-"&amp;I192</f>
        <v>Coffee-QuickExtract</v>
      </c>
      <c r="K192" t="s">
        <v>22</v>
      </c>
      <c r="L192" t="s">
        <v>23</v>
      </c>
      <c r="M192" t="s">
        <v>31</v>
      </c>
      <c r="N192" t="s">
        <v>34</v>
      </c>
      <c r="O192" s="1">
        <v>0.98499999999999999</v>
      </c>
    </row>
    <row r="193" spans="1:15" x14ac:dyDescent="0.55000000000000004">
      <c r="A193" t="s">
        <v>337</v>
      </c>
      <c r="B193">
        <v>90</v>
      </c>
      <c r="C193">
        <v>2</v>
      </c>
      <c r="D193" t="s">
        <v>283</v>
      </c>
      <c r="E193" t="s">
        <v>284</v>
      </c>
      <c r="F193" t="s">
        <v>285</v>
      </c>
      <c r="G193" t="s">
        <v>87</v>
      </c>
      <c r="H193" t="s">
        <v>19</v>
      </c>
      <c r="I193" t="s">
        <v>20</v>
      </c>
      <c r="J193" t="str">
        <f>H193&amp;"-"&amp;I193</f>
        <v>Passive-Column</v>
      </c>
      <c r="K193" t="s">
        <v>22</v>
      </c>
      <c r="L193" t="s">
        <v>23</v>
      </c>
      <c r="M193" t="s">
        <v>24</v>
      </c>
      <c r="N193" t="s">
        <v>88</v>
      </c>
      <c r="O193" s="1">
        <v>0.10100000000000001</v>
      </c>
    </row>
    <row r="194" spans="1:15" x14ac:dyDescent="0.55000000000000004">
      <c r="A194" t="s">
        <v>338</v>
      </c>
      <c r="B194">
        <v>91</v>
      </c>
      <c r="C194">
        <v>2</v>
      </c>
      <c r="D194" t="s">
        <v>283</v>
      </c>
      <c r="E194" t="s">
        <v>284</v>
      </c>
      <c r="F194" t="s">
        <v>285</v>
      </c>
      <c r="G194" t="s">
        <v>87</v>
      </c>
      <c r="H194" t="s">
        <v>19</v>
      </c>
      <c r="I194" t="s">
        <v>33</v>
      </c>
      <c r="J194" t="str">
        <f>H194&amp;"-"&amp;I194</f>
        <v>Passive-QuickExtract</v>
      </c>
      <c r="K194" t="s">
        <v>22</v>
      </c>
      <c r="L194" t="s">
        <v>23</v>
      </c>
      <c r="M194" t="s">
        <v>24</v>
      </c>
      <c r="N194" t="s">
        <v>130</v>
      </c>
      <c r="O194" s="1">
        <v>3.7999999999999999E-2</v>
      </c>
    </row>
    <row r="195" spans="1:15" x14ac:dyDescent="0.55000000000000004">
      <c r="A195" t="s">
        <v>339</v>
      </c>
      <c r="B195">
        <v>92</v>
      </c>
      <c r="C195">
        <v>2</v>
      </c>
      <c r="D195" t="s">
        <v>283</v>
      </c>
      <c r="E195" t="s">
        <v>284</v>
      </c>
      <c r="F195" t="s">
        <v>285</v>
      </c>
      <c r="G195" t="s">
        <v>90</v>
      </c>
      <c r="H195" t="s">
        <v>27</v>
      </c>
      <c r="I195" t="s">
        <v>20</v>
      </c>
      <c r="J195" t="str">
        <f>H195&amp;"-"&amp;I195</f>
        <v>Coffee-Column</v>
      </c>
      <c r="K195" t="s">
        <v>22</v>
      </c>
      <c r="L195" t="s">
        <v>23</v>
      </c>
      <c r="M195" t="s">
        <v>24</v>
      </c>
      <c r="N195" t="s">
        <v>91</v>
      </c>
      <c r="O195" s="1">
        <v>0.88</v>
      </c>
    </row>
    <row r="196" spans="1:15" x14ac:dyDescent="0.55000000000000004">
      <c r="A196" t="s">
        <v>340</v>
      </c>
      <c r="B196">
        <v>93</v>
      </c>
      <c r="C196">
        <v>2</v>
      </c>
      <c r="D196" t="s">
        <v>283</v>
      </c>
      <c r="E196" t="s">
        <v>284</v>
      </c>
      <c r="F196" t="s">
        <v>285</v>
      </c>
      <c r="G196" t="s">
        <v>90</v>
      </c>
      <c r="H196" t="s">
        <v>27</v>
      </c>
      <c r="I196" t="s">
        <v>33</v>
      </c>
      <c r="J196" t="str">
        <f>H196&amp;"-"&amp;I196</f>
        <v>Coffee-QuickExtract</v>
      </c>
      <c r="K196" t="s">
        <v>29</v>
      </c>
      <c r="L196" t="s">
        <v>30</v>
      </c>
      <c r="M196" t="s">
        <v>24</v>
      </c>
      <c r="N196" t="s">
        <v>93</v>
      </c>
      <c r="O196" s="1">
        <v>0.53500000000000003</v>
      </c>
    </row>
    <row r="197" spans="1:15" x14ac:dyDescent="0.55000000000000004">
      <c r="A197" t="s">
        <v>341</v>
      </c>
      <c r="B197">
        <v>94</v>
      </c>
      <c r="C197">
        <v>2</v>
      </c>
      <c r="D197" t="s">
        <v>283</v>
      </c>
      <c r="E197" t="s">
        <v>284</v>
      </c>
      <c r="F197" t="s">
        <v>285</v>
      </c>
      <c r="G197" t="s">
        <v>312</v>
      </c>
      <c r="H197" t="s">
        <v>47</v>
      </c>
      <c r="I197" t="s">
        <v>47</v>
      </c>
      <c r="J197" t="str">
        <f>H197&amp;"-"&amp;I197</f>
        <v>Sylphium-Sylphium</v>
      </c>
      <c r="K197" t="s">
        <v>22</v>
      </c>
      <c r="L197" t="s">
        <v>23</v>
      </c>
      <c r="M197" t="s">
        <v>31</v>
      </c>
      <c r="N197" t="s">
        <v>312</v>
      </c>
      <c r="O197" s="1">
        <v>0.65500000000000003</v>
      </c>
    </row>
    <row r="198" spans="1:15" x14ac:dyDescent="0.55000000000000004">
      <c r="A198" t="s">
        <v>345</v>
      </c>
      <c r="B198">
        <v>1</v>
      </c>
      <c r="C198">
        <v>4</v>
      </c>
      <c r="D198" t="s">
        <v>283</v>
      </c>
      <c r="E198" t="s">
        <v>284</v>
      </c>
      <c r="F198" t="s">
        <v>285</v>
      </c>
      <c r="G198" t="s">
        <v>346</v>
      </c>
      <c r="H198" t="s">
        <v>149</v>
      </c>
      <c r="I198" t="s">
        <v>20</v>
      </c>
      <c r="J198" t="str">
        <f>H198&amp;"-"&amp;I198</f>
        <v>Torpedo-Column</v>
      </c>
      <c r="K198" t="s">
        <v>150</v>
      </c>
      <c r="L198" t="s">
        <v>151</v>
      </c>
      <c r="M198" t="s">
        <v>152</v>
      </c>
      <c r="N198" t="s">
        <v>148</v>
      </c>
      <c r="O198" s="1">
        <v>0.12</v>
      </c>
    </row>
    <row r="199" spans="1:15" x14ac:dyDescent="0.55000000000000004">
      <c r="A199" t="s">
        <v>347</v>
      </c>
      <c r="B199">
        <v>2</v>
      </c>
      <c r="C199">
        <v>4</v>
      </c>
      <c r="D199" t="s">
        <v>283</v>
      </c>
      <c r="E199" t="s">
        <v>284</v>
      </c>
      <c r="F199" t="s">
        <v>285</v>
      </c>
      <c r="G199" t="s">
        <v>346</v>
      </c>
      <c r="H199" t="s">
        <v>149</v>
      </c>
      <c r="I199" t="s">
        <v>33</v>
      </c>
      <c r="J199" t="str">
        <f>H199&amp;"-"&amp;I199</f>
        <v>Torpedo-QuickExtract</v>
      </c>
      <c r="K199" t="s">
        <v>150</v>
      </c>
      <c r="L199" t="s">
        <v>151</v>
      </c>
      <c r="M199" t="s">
        <v>152</v>
      </c>
      <c r="N199" t="s">
        <v>154</v>
      </c>
      <c r="O199" s="1">
        <v>0.109</v>
      </c>
    </row>
    <row r="200" spans="1:15" x14ac:dyDescent="0.55000000000000004">
      <c r="A200" t="s">
        <v>348</v>
      </c>
      <c r="B200">
        <v>3</v>
      </c>
      <c r="C200">
        <v>4</v>
      </c>
      <c r="D200" t="s">
        <v>283</v>
      </c>
      <c r="E200" t="s">
        <v>284</v>
      </c>
      <c r="F200" t="s">
        <v>285</v>
      </c>
      <c r="G200" t="s">
        <v>349</v>
      </c>
      <c r="H200" t="s">
        <v>149</v>
      </c>
      <c r="I200" t="s">
        <v>20</v>
      </c>
      <c r="J200" t="str">
        <f>H200&amp;"-"&amp;I200</f>
        <v>Torpedo-Column</v>
      </c>
      <c r="K200" t="s">
        <v>150</v>
      </c>
      <c r="L200" t="s">
        <v>151</v>
      </c>
      <c r="M200" t="s">
        <v>152</v>
      </c>
      <c r="N200" t="s">
        <v>156</v>
      </c>
      <c r="O200" s="1">
        <v>0.18</v>
      </c>
    </row>
    <row r="201" spans="1:15" x14ac:dyDescent="0.55000000000000004">
      <c r="A201" t="s">
        <v>350</v>
      </c>
      <c r="B201">
        <v>4</v>
      </c>
      <c r="C201">
        <v>4</v>
      </c>
      <c r="D201" t="s">
        <v>283</v>
      </c>
      <c r="E201" t="s">
        <v>284</v>
      </c>
      <c r="F201" t="s">
        <v>285</v>
      </c>
      <c r="G201" t="s">
        <v>349</v>
      </c>
      <c r="H201" t="s">
        <v>149</v>
      </c>
      <c r="I201" t="s">
        <v>33</v>
      </c>
      <c r="J201" t="str">
        <f>H201&amp;"-"&amp;I201</f>
        <v>Torpedo-QuickExtract</v>
      </c>
      <c r="K201" t="s">
        <v>150</v>
      </c>
      <c r="L201" t="s">
        <v>151</v>
      </c>
      <c r="M201" t="s">
        <v>152</v>
      </c>
      <c r="N201" t="s">
        <v>158</v>
      </c>
      <c r="O201" s="1">
        <v>9.1999999999999998E-2</v>
      </c>
    </row>
    <row r="202" spans="1:15" x14ac:dyDescent="0.55000000000000004">
      <c r="A202" t="s">
        <v>351</v>
      </c>
      <c r="B202">
        <v>5</v>
      </c>
      <c r="C202">
        <v>4</v>
      </c>
      <c r="D202" t="s">
        <v>283</v>
      </c>
      <c r="E202" t="s">
        <v>284</v>
      </c>
      <c r="F202" t="s">
        <v>285</v>
      </c>
      <c r="G202" t="s">
        <v>352</v>
      </c>
      <c r="H202" t="s">
        <v>149</v>
      </c>
      <c r="I202" t="s">
        <v>20</v>
      </c>
      <c r="J202" t="str">
        <f>H202&amp;"-"&amp;I202</f>
        <v>Torpedo-Column</v>
      </c>
      <c r="K202" t="s">
        <v>150</v>
      </c>
      <c r="L202" t="s">
        <v>151</v>
      </c>
      <c r="M202" t="s">
        <v>152</v>
      </c>
      <c r="N202" t="s">
        <v>160</v>
      </c>
      <c r="O202" s="1">
        <v>1E-3</v>
      </c>
    </row>
    <row r="203" spans="1:15" x14ac:dyDescent="0.55000000000000004">
      <c r="A203" t="s">
        <v>353</v>
      </c>
      <c r="B203">
        <v>6</v>
      </c>
      <c r="C203">
        <v>4</v>
      </c>
      <c r="D203" t="s">
        <v>283</v>
      </c>
      <c r="E203" t="s">
        <v>284</v>
      </c>
      <c r="F203" t="s">
        <v>285</v>
      </c>
      <c r="G203" t="s">
        <v>352</v>
      </c>
      <c r="H203" t="s">
        <v>149</v>
      </c>
      <c r="I203" t="s">
        <v>33</v>
      </c>
      <c r="J203" t="str">
        <f>H203&amp;"-"&amp;I203</f>
        <v>Torpedo-QuickExtract</v>
      </c>
      <c r="K203" t="s">
        <v>150</v>
      </c>
      <c r="L203" t="s">
        <v>151</v>
      </c>
      <c r="M203" t="s">
        <v>152</v>
      </c>
      <c r="N203" t="s">
        <v>162</v>
      </c>
      <c r="O203" s="1">
        <v>6.4000000000000001E-2</v>
      </c>
    </row>
    <row r="204" spans="1:15" x14ac:dyDescent="0.55000000000000004">
      <c r="A204" t="s">
        <v>354</v>
      </c>
      <c r="B204">
        <v>7</v>
      </c>
      <c r="C204">
        <v>4</v>
      </c>
      <c r="D204" t="s">
        <v>283</v>
      </c>
      <c r="E204" t="s">
        <v>284</v>
      </c>
      <c r="F204" t="s">
        <v>285</v>
      </c>
      <c r="G204" t="s">
        <v>355</v>
      </c>
      <c r="H204" t="s">
        <v>149</v>
      </c>
      <c r="I204" t="s">
        <v>20</v>
      </c>
      <c r="J204" t="str">
        <f>H204&amp;"-"&amp;I204</f>
        <v>Torpedo-Column</v>
      </c>
      <c r="K204" t="s">
        <v>150</v>
      </c>
      <c r="L204" t="s">
        <v>151</v>
      </c>
      <c r="M204" t="s">
        <v>152</v>
      </c>
      <c r="N204" t="s">
        <v>164</v>
      </c>
      <c r="O204" s="1">
        <v>0.129</v>
      </c>
    </row>
    <row r="205" spans="1:15" x14ac:dyDescent="0.55000000000000004">
      <c r="A205" t="s">
        <v>356</v>
      </c>
      <c r="B205">
        <v>8</v>
      </c>
      <c r="C205">
        <v>4</v>
      </c>
      <c r="D205" t="s">
        <v>283</v>
      </c>
      <c r="E205" t="s">
        <v>284</v>
      </c>
      <c r="F205" t="s">
        <v>285</v>
      </c>
      <c r="G205" t="s">
        <v>355</v>
      </c>
      <c r="H205" t="s">
        <v>149</v>
      </c>
      <c r="I205" t="s">
        <v>33</v>
      </c>
      <c r="J205" t="str">
        <f>H205&amp;"-"&amp;I205</f>
        <v>Torpedo-QuickExtract</v>
      </c>
      <c r="K205" t="s">
        <v>150</v>
      </c>
      <c r="L205" t="s">
        <v>151</v>
      </c>
      <c r="M205" t="s">
        <v>152</v>
      </c>
      <c r="N205" t="s">
        <v>166</v>
      </c>
      <c r="O205" s="1">
        <v>7.7499999999999999E-2</v>
      </c>
    </row>
    <row r="206" spans="1:15" x14ac:dyDescent="0.55000000000000004">
      <c r="A206" t="s">
        <v>357</v>
      </c>
      <c r="B206">
        <v>9</v>
      </c>
      <c r="C206">
        <v>4</v>
      </c>
      <c r="D206" t="s">
        <v>283</v>
      </c>
      <c r="E206" t="s">
        <v>284</v>
      </c>
      <c r="F206" t="s">
        <v>285</v>
      </c>
      <c r="G206" t="s">
        <v>358</v>
      </c>
      <c r="H206" t="s">
        <v>149</v>
      </c>
      <c r="I206" t="s">
        <v>20</v>
      </c>
      <c r="J206" t="str">
        <f>H206&amp;"-"&amp;I206</f>
        <v>Torpedo-Column</v>
      </c>
      <c r="K206" t="s">
        <v>150</v>
      </c>
      <c r="L206" t="s">
        <v>151</v>
      </c>
      <c r="M206" t="s">
        <v>152</v>
      </c>
      <c r="N206" t="s">
        <v>168</v>
      </c>
      <c r="O206" s="1">
        <v>9.5000000000000001E-2</v>
      </c>
    </row>
    <row r="207" spans="1:15" x14ac:dyDescent="0.55000000000000004">
      <c r="A207" t="s">
        <v>359</v>
      </c>
      <c r="B207">
        <v>10</v>
      </c>
      <c r="C207">
        <v>4</v>
      </c>
      <c r="D207" t="s">
        <v>283</v>
      </c>
      <c r="E207" t="s">
        <v>284</v>
      </c>
      <c r="F207" t="s">
        <v>285</v>
      </c>
      <c r="G207" t="s">
        <v>358</v>
      </c>
      <c r="H207" t="s">
        <v>149</v>
      </c>
      <c r="I207" t="s">
        <v>33</v>
      </c>
      <c r="J207" t="str">
        <f>H207&amp;"-"&amp;I207</f>
        <v>Torpedo-QuickExtract</v>
      </c>
      <c r="K207" t="s">
        <v>150</v>
      </c>
      <c r="L207" t="s">
        <v>151</v>
      </c>
      <c r="M207" t="s">
        <v>152</v>
      </c>
      <c r="N207" t="s">
        <v>170</v>
      </c>
      <c r="O207" s="1">
        <v>0.11600000000000001</v>
      </c>
    </row>
    <row r="208" spans="1:15" x14ac:dyDescent="0.55000000000000004">
      <c r="A208" t="s">
        <v>360</v>
      </c>
      <c r="B208">
        <v>11</v>
      </c>
      <c r="C208">
        <v>4</v>
      </c>
      <c r="D208" t="s">
        <v>283</v>
      </c>
      <c r="E208" t="s">
        <v>284</v>
      </c>
      <c r="F208" t="s">
        <v>285</v>
      </c>
      <c r="G208" t="s">
        <v>361</v>
      </c>
      <c r="H208" t="s">
        <v>149</v>
      </c>
      <c r="I208" t="s">
        <v>20</v>
      </c>
      <c r="J208" t="str">
        <f>H208&amp;"-"&amp;I208</f>
        <v>Torpedo-Column</v>
      </c>
      <c r="K208" t="s">
        <v>150</v>
      </c>
      <c r="L208" t="s">
        <v>151</v>
      </c>
      <c r="M208" t="s">
        <v>152</v>
      </c>
      <c r="N208" t="s">
        <v>172</v>
      </c>
      <c r="O208" s="1">
        <v>2.8500000000000001E-2</v>
      </c>
    </row>
    <row r="209" spans="1:15" x14ac:dyDescent="0.55000000000000004">
      <c r="A209" t="s">
        <v>362</v>
      </c>
      <c r="B209">
        <v>12</v>
      </c>
      <c r="C209">
        <v>4</v>
      </c>
      <c r="D209" t="s">
        <v>283</v>
      </c>
      <c r="E209" t="s">
        <v>284</v>
      </c>
      <c r="F209" t="s">
        <v>285</v>
      </c>
      <c r="G209" t="s">
        <v>361</v>
      </c>
      <c r="H209" t="s">
        <v>149</v>
      </c>
      <c r="I209" t="s">
        <v>33</v>
      </c>
      <c r="J209" t="str">
        <f>H209&amp;"-"&amp;I209</f>
        <v>Torpedo-QuickExtract</v>
      </c>
      <c r="K209" t="s">
        <v>150</v>
      </c>
      <c r="L209" t="s">
        <v>151</v>
      </c>
      <c r="M209" t="s">
        <v>152</v>
      </c>
      <c r="N209" t="s">
        <v>174</v>
      </c>
      <c r="O209" s="1">
        <v>9.9500000000000005E-2</v>
      </c>
    </row>
    <row r="210" spans="1:15" x14ac:dyDescent="0.55000000000000004">
      <c r="A210" t="s">
        <v>363</v>
      </c>
      <c r="B210">
        <v>13</v>
      </c>
      <c r="C210">
        <v>4</v>
      </c>
      <c r="D210" t="s">
        <v>283</v>
      </c>
      <c r="E210" t="s">
        <v>284</v>
      </c>
      <c r="F210" t="s">
        <v>285</v>
      </c>
      <c r="G210" t="s">
        <v>364</v>
      </c>
      <c r="H210" t="s">
        <v>19</v>
      </c>
      <c r="I210" t="s">
        <v>20</v>
      </c>
      <c r="J210" t="str">
        <f>H210&amp;"-"&amp;I210</f>
        <v>Passive-Column</v>
      </c>
      <c r="K210" t="s">
        <v>150</v>
      </c>
      <c r="L210" t="s">
        <v>151</v>
      </c>
      <c r="M210" t="s">
        <v>152</v>
      </c>
      <c r="N210" t="s">
        <v>176</v>
      </c>
      <c r="O210" s="1">
        <v>0.28899999999999998</v>
      </c>
    </row>
    <row r="211" spans="1:15" x14ac:dyDescent="0.55000000000000004">
      <c r="A211" t="s">
        <v>365</v>
      </c>
      <c r="B211">
        <v>14</v>
      </c>
      <c r="C211">
        <v>4</v>
      </c>
      <c r="D211" t="s">
        <v>283</v>
      </c>
      <c r="E211" t="s">
        <v>284</v>
      </c>
      <c r="F211" t="s">
        <v>285</v>
      </c>
      <c r="G211" t="s">
        <v>364</v>
      </c>
      <c r="H211" t="s">
        <v>19</v>
      </c>
      <c r="I211" t="s">
        <v>33</v>
      </c>
      <c r="J211" t="str">
        <f>H211&amp;"-"&amp;I211</f>
        <v>Passive-QuickExtract</v>
      </c>
      <c r="K211" t="s">
        <v>150</v>
      </c>
      <c r="L211" t="s">
        <v>151</v>
      </c>
      <c r="M211" t="s">
        <v>152</v>
      </c>
      <c r="N211" t="s">
        <v>178</v>
      </c>
      <c r="O211" s="1">
        <v>0.17499999999999999</v>
      </c>
    </row>
    <row r="212" spans="1:15" x14ac:dyDescent="0.55000000000000004">
      <c r="A212" t="s">
        <v>366</v>
      </c>
      <c r="B212">
        <v>15</v>
      </c>
      <c r="C212">
        <v>4</v>
      </c>
      <c r="D212" t="s">
        <v>283</v>
      </c>
      <c r="E212" t="s">
        <v>284</v>
      </c>
      <c r="F212" t="s">
        <v>285</v>
      </c>
      <c r="G212" t="s">
        <v>367</v>
      </c>
      <c r="H212" t="s">
        <v>19</v>
      </c>
      <c r="I212" t="s">
        <v>20</v>
      </c>
      <c r="J212" t="str">
        <f>H212&amp;"-"&amp;I212</f>
        <v>Passive-Column</v>
      </c>
      <c r="K212" t="s">
        <v>150</v>
      </c>
      <c r="L212" t="s">
        <v>151</v>
      </c>
      <c r="M212" t="s">
        <v>152</v>
      </c>
      <c r="N212" t="s">
        <v>180</v>
      </c>
      <c r="O212" s="1">
        <v>1E-3</v>
      </c>
    </row>
    <row r="213" spans="1:15" x14ac:dyDescent="0.55000000000000004">
      <c r="A213" t="s">
        <v>368</v>
      </c>
      <c r="B213">
        <v>16</v>
      </c>
      <c r="C213">
        <v>4</v>
      </c>
      <c r="D213" t="s">
        <v>283</v>
      </c>
      <c r="E213" t="s">
        <v>284</v>
      </c>
      <c r="F213" t="s">
        <v>285</v>
      </c>
      <c r="G213" t="s">
        <v>367</v>
      </c>
      <c r="H213" t="s">
        <v>19</v>
      </c>
      <c r="I213" t="s">
        <v>33</v>
      </c>
      <c r="J213" t="str">
        <f>H213&amp;"-"&amp;I213</f>
        <v>Passive-QuickExtract</v>
      </c>
      <c r="K213" t="s">
        <v>150</v>
      </c>
      <c r="L213" t="s">
        <v>151</v>
      </c>
      <c r="M213" t="s">
        <v>152</v>
      </c>
      <c r="N213" t="s">
        <v>182</v>
      </c>
      <c r="O213" s="1">
        <v>1E-3</v>
      </c>
    </row>
    <row r="214" spans="1:15" x14ac:dyDescent="0.55000000000000004">
      <c r="A214" t="s">
        <v>369</v>
      </c>
      <c r="B214">
        <v>17</v>
      </c>
      <c r="C214">
        <v>4</v>
      </c>
      <c r="D214" t="s">
        <v>283</v>
      </c>
      <c r="E214" t="s">
        <v>284</v>
      </c>
      <c r="F214" t="s">
        <v>285</v>
      </c>
      <c r="G214" t="s">
        <v>370</v>
      </c>
      <c r="H214" t="s">
        <v>19</v>
      </c>
      <c r="I214" t="s">
        <v>20</v>
      </c>
      <c r="J214" t="str">
        <f>H214&amp;"-"&amp;I214</f>
        <v>Passive-Column</v>
      </c>
      <c r="K214" t="s">
        <v>150</v>
      </c>
      <c r="L214" t="s">
        <v>151</v>
      </c>
      <c r="M214" t="s">
        <v>152</v>
      </c>
      <c r="N214" t="s">
        <v>184</v>
      </c>
      <c r="O214" s="1">
        <v>0.14699999999999999</v>
      </c>
    </row>
    <row r="215" spans="1:15" x14ac:dyDescent="0.55000000000000004">
      <c r="A215" t="s">
        <v>371</v>
      </c>
      <c r="B215">
        <v>18</v>
      </c>
      <c r="C215">
        <v>4</v>
      </c>
      <c r="D215" t="s">
        <v>283</v>
      </c>
      <c r="E215" t="s">
        <v>284</v>
      </c>
      <c r="F215" t="s">
        <v>285</v>
      </c>
      <c r="G215" t="s">
        <v>370</v>
      </c>
      <c r="H215" t="s">
        <v>19</v>
      </c>
      <c r="I215" t="s">
        <v>33</v>
      </c>
      <c r="J215" t="str">
        <f>H215&amp;"-"&amp;I215</f>
        <v>Passive-QuickExtract</v>
      </c>
      <c r="K215" t="s">
        <v>150</v>
      </c>
      <c r="L215" t="s">
        <v>151</v>
      </c>
      <c r="M215" t="s">
        <v>152</v>
      </c>
      <c r="N215" t="s">
        <v>186</v>
      </c>
      <c r="O215" s="1">
        <v>5.3499999999999999E-2</v>
      </c>
    </row>
    <row r="216" spans="1:15" x14ac:dyDescent="0.55000000000000004">
      <c r="A216" t="s">
        <v>372</v>
      </c>
      <c r="B216">
        <v>19</v>
      </c>
      <c r="C216">
        <v>4</v>
      </c>
      <c r="D216" t="s">
        <v>283</v>
      </c>
      <c r="E216" t="s">
        <v>284</v>
      </c>
      <c r="F216" t="s">
        <v>285</v>
      </c>
      <c r="G216" t="s">
        <v>373</v>
      </c>
      <c r="H216" t="s">
        <v>19</v>
      </c>
      <c r="I216" t="s">
        <v>20</v>
      </c>
      <c r="J216" t="str">
        <f>H216&amp;"-"&amp;I216</f>
        <v>Passive-Column</v>
      </c>
      <c r="K216" t="s">
        <v>150</v>
      </c>
      <c r="L216" t="s">
        <v>151</v>
      </c>
      <c r="M216" t="s">
        <v>152</v>
      </c>
      <c r="N216" t="s">
        <v>188</v>
      </c>
      <c r="O216" s="1">
        <v>0.17</v>
      </c>
    </row>
    <row r="217" spans="1:15" x14ac:dyDescent="0.55000000000000004">
      <c r="A217" t="s">
        <v>374</v>
      </c>
      <c r="B217">
        <v>20</v>
      </c>
      <c r="C217">
        <v>4</v>
      </c>
      <c r="D217" t="s">
        <v>283</v>
      </c>
      <c r="E217" t="s">
        <v>284</v>
      </c>
      <c r="F217" t="s">
        <v>285</v>
      </c>
      <c r="G217" t="s">
        <v>373</v>
      </c>
      <c r="H217" t="s">
        <v>19</v>
      </c>
      <c r="I217" t="s">
        <v>33</v>
      </c>
      <c r="J217" t="str">
        <f>H217&amp;"-"&amp;I217</f>
        <v>Passive-QuickExtract</v>
      </c>
      <c r="K217" t="s">
        <v>150</v>
      </c>
      <c r="L217" t="s">
        <v>151</v>
      </c>
      <c r="M217" t="s">
        <v>152</v>
      </c>
      <c r="N217" t="s">
        <v>190</v>
      </c>
      <c r="O217" s="1">
        <v>8.7499999999999994E-2</v>
      </c>
    </row>
    <row r="218" spans="1:15" x14ac:dyDescent="0.55000000000000004">
      <c r="A218" t="s">
        <v>375</v>
      </c>
      <c r="B218">
        <v>21</v>
      </c>
      <c r="C218">
        <v>4</v>
      </c>
      <c r="D218" t="s">
        <v>283</v>
      </c>
      <c r="E218" t="s">
        <v>284</v>
      </c>
      <c r="F218" t="s">
        <v>285</v>
      </c>
      <c r="G218" t="s">
        <v>376</v>
      </c>
      <c r="H218" t="s">
        <v>19</v>
      </c>
      <c r="I218" t="s">
        <v>20</v>
      </c>
      <c r="J218" t="str">
        <f>H218&amp;"-"&amp;I218</f>
        <v>Passive-Column</v>
      </c>
      <c r="K218" t="s">
        <v>150</v>
      </c>
      <c r="L218" t="s">
        <v>151</v>
      </c>
      <c r="M218" t="s">
        <v>152</v>
      </c>
      <c r="N218" t="s">
        <v>192</v>
      </c>
      <c r="O218" s="1">
        <v>0.17599999999999999</v>
      </c>
    </row>
    <row r="219" spans="1:15" x14ac:dyDescent="0.55000000000000004">
      <c r="A219" t="s">
        <v>377</v>
      </c>
      <c r="B219">
        <v>22</v>
      </c>
      <c r="C219">
        <v>4</v>
      </c>
      <c r="D219" t="s">
        <v>283</v>
      </c>
      <c r="E219" t="s">
        <v>284</v>
      </c>
      <c r="F219" t="s">
        <v>285</v>
      </c>
      <c r="G219" t="s">
        <v>376</v>
      </c>
      <c r="H219" t="s">
        <v>19</v>
      </c>
      <c r="I219" t="s">
        <v>33</v>
      </c>
      <c r="J219" t="str">
        <f>H219&amp;"-"&amp;I219</f>
        <v>Passive-QuickExtract</v>
      </c>
      <c r="K219" t="s">
        <v>150</v>
      </c>
      <c r="L219" t="s">
        <v>151</v>
      </c>
      <c r="M219" t="s">
        <v>152</v>
      </c>
      <c r="N219" t="s">
        <v>194</v>
      </c>
      <c r="O219" s="1">
        <v>5.5E-2</v>
      </c>
    </row>
    <row r="220" spans="1:15" x14ac:dyDescent="0.55000000000000004">
      <c r="A220" t="s">
        <v>378</v>
      </c>
      <c r="B220">
        <v>23</v>
      </c>
      <c r="C220">
        <v>4</v>
      </c>
      <c r="D220" t="s">
        <v>283</v>
      </c>
      <c r="E220" t="s">
        <v>284</v>
      </c>
      <c r="F220" t="s">
        <v>285</v>
      </c>
      <c r="G220" t="s">
        <v>379</v>
      </c>
      <c r="H220" t="s">
        <v>19</v>
      </c>
      <c r="I220" t="s">
        <v>20</v>
      </c>
      <c r="J220" t="str">
        <f>H220&amp;"-"&amp;I220</f>
        <v>Passive-Column</v>
      </c>
      <c r="K220" t="s">
        <v>150</v>
      </c>
      <c r="L220" t="s">
        <v>151</v>
      </c>
      <c r="M220" t="s">
        <v>152</v>
      </c>
      <c r="N220" t="s">
        <v>196</v>
      </c>
      <c r="O220" s="1">
        <v>0.30099999999999999</v>
      </c>
    </row>
    <row r="221" spans="1:15" x14ac:dyDescent="0.55000000000000004">
      <c r="A221" t="s">
        <v>380</v>
      </c>
      <c r="B221">
        <v>24</v>
      </c>
      <c r="C221">
        <v>4</v>
      </c>
      <c r="D221" t="s">
        <v>283</v>
      </c>
      <c r="E221" t="s">
        <v>284</v>
      </c>
      <c r="F221" t="s">
        <v>285</v>
      </c>
      <c r="G221" t="s">
        <v>379</v>
      </c>
      <c r="H221" t="s">
        <v>19</v>
      </c>
      <c r="I221" t="s">
        <v>33</v>
      </c>
      <c r="J221" t="str">
        <f>H221&amp;"-"&amp;I221</f>
        <v>Passive-QuickExtract</v>
      </c>
      <c r="K221" t="s">
        <v>150</v>
      </c>
      <c r="L221" t="s">
        <v>151</v>
      </c>
      <c r="M221" t="s">
        <v>152</v>
      </c>
      <c r="N221" t="s">
        <v>198</v>
      </c>
      <c r="O221" s="1">
        <v>0.123</v>
      </c>
    </row>
    <row r="222" spans="1:15" x14ac:dyDescent="0.55000000000000004">
      <c r="A222" t="s">
        <v>381</v>
      </c>
      <c r="B222">
        <v>25</v>
      </c>
      <c r="C222">
        <v>4</v>
      </c>
      <c r="D222" t="s">
        <v>283</v>
      </c>
      <c r="E222" t="s">
        <v>284</v>
      </c>
      <c r="F222" t="s">
        <v>285</v>
      </c>
      <c r="G222" t="s">
        <v>382</v>
      </c>
      <c r="H222" t="s">
        <v>27</v>
      </c>
      <c r="I222" t="s">
        <v>20</v>
      </c>
      <c r="J222" t="str">
        <f>H222&amp;"-"&amp;I222</f>
        <v>Coffee-Column</v>
      </c>
      <c r="K222" t="s">
        <v>29</v>
      </c>
      <c r="L222" t="s">
        <v>30</v>
      </c>
      <c r="M222" t="s">
        <v>31</v>
      </c>
      <c r="N222" t="s">
        <v>200</v>
      </c>
      <c r="O222" s="1">
        <v>0.53500000000000003</v>
      </c>
    </row>
    <row r="223" spans="1:15" x14ac:dyDescent="0.55000000000000004">
      <c r="A223" t="s">
        <v>383</v>
      </c>
      <c r="B223">
        <v>26</v>
      </c>
      <c r="C223">
        <v>4</v>
      </c>
      <c r="D223" t="s">
        <v>283</v>
      </c>
      <c r="E223" t="s">
        <v>284</v>
      </c>
      <c r="F223" t="s">
        <v>285</v>
      </c>
      <c r="G223" t="s">
        <v>382</v>
      </c>
      <c r="H223" t="s">
        <v>27</v>
      </c>
      <c r="I223" t="s">
        <v>33</v>
      </c>
      <c r="J223" t="str">
        <f>H223&amp;"-"&amp;I223</f>
        <v>Coffee-QuickExtract</v>
      </c>
      <c r="K223" t="s">
        <v>29</v>
      </c>
      <c r="L223" t="s">
        <v>30</v>
      </c>
      <c r="M223" t="s">
        <v>31</v>
      </c>
      <c r="N223" t="s">
        <v>202</v>
      </c>
      <c r="O223" s="1">
        <v>0.505</v>
      </c>
    </row>
    <row r="224" spans="1:15" x14ac:dyDescent="0.55000000000000004">
      <c r="A224" t="s">
        <v>384</v>
      </c>
      <c r="B224">
        <v>27</v>
      </c>
      <c r="C224">
        <v>4</v>
      </c>
      <c r="D224" t="s">
        <v>283</v>
      </c>
      <c r="E224" t="s">
        <v>284</v>
      </c>
      <c r="F224" t="s">
        <v>285</v>
      </c>
      <c r="G224" t="s">
        <v>385</v>
      </c>
      <c r="H224" t="s">
        <v>27</v>
      </c>
      <c r="I224" t="s">
        <v>20</v>
      </c>
      <c r="J224" t="str">
        <f>H224&amp;"-"&amp;I224</f>
        <v>Coffee-Column</v>
      </c>
      <c r="K224" t="s">
        <v>29</v>
      </c>
      <c r="L224" t="s">
        <v>30</v>
      </c>
      <c r="M224" t="s">
        <v>31</v>
      </c>
      <c r="N224" t="s">
        <v>204</v>
      </c>
      <c r="O224" s="1">
        <v>1.53</v>
      </c>
    </row>
    <row r="225" spans="1:15" x14ac:dyDescent="0.55000000000000004">
      <c r="A225" t="s">
        <v>386</v>
      </c>
      <c r="B225">
        <v>28</v>
      </c>
      <c r="C225">
        <v>4</v>
      </c>
      <c r="D225" t="s">
        <v>283</v>
      </c>
      <c r="E225" t="s">
        <v>284</v>
      </c>
      <c r="F225" t="s">
        <v>285</v>
      </c>
      <c r="G225" t="s">
        <v>385</v>
      </c>
      <c r="H225" t="s">
        <v>27</v>
      </c>
      <c r="I225" t="s">
        <v>33</v>
      </c>
      <c r="J225" t="str">
        <f>H225&amp;"-"&amp;I225</f>
        <v>Coffee-QuickExtract</v>
      </c>
      <c r="K225" t="s">
        <v>29</v>
      </c>
      <c r="L225" t="s">
        <v>30</v>
      </c>
      <c r="M225" t="s">
        <v>31</v>
      </c>
      <c r="N225" t="s">
        <v>206</v>
      </c>
      <c r="O225" s="1">
        <v>0.41699999999999998</v>
      </c>
    </row>
    <row r="226" spans="1:15" x14ac:dyDescent="0.55000000000000004">
      <c r="A226" t="s">
        <v>387</v>
      </c>
      <c r="B226">
        <v>29</v>
      </c>
      <c r="C226">
        <v>4</v>
      </c>
      <c r="D226" t="s">
        <v>283</v>
      </c>
      <c r="E226" t="s">
        <v>284</v>
      </c>
      <c r="F226" t="s">
        <v>285</v>
      </c>
      <c r="G226" t="s">
        <v>388</v>
      </c>
      <c r="H226" t="s">
        <v>27</v>
      </c>
      <c r="I226" t="s">
        <v>20</v>
      </c>
      <c r="J226" t="str">
        <f>H226&amp;"-"&amp;I226</f>
        <v>Coffee-Column</v>
      </c>
      <c r="K226" t="s">
        <v>29</v>
      </c>
      <c r="L226" t="s">
        <v>30</v>
      </c>
      <c r="M226" t="s">
        <v>31</v>
      </c>
      <c r="N226" t="s">
        <v>208</v>
      </c>
      <c r="O226" s="1">
        <v>0.81</v>
      </c>
    </row>
    <row r="227" spans="1:15" x14ac:dyDescent="0.55000000000000004">
      <c r="A227" t="s">
        <v>389</v>
      </c>
      <c r="B227">
        <v>30</v>
      </c>
      <c r="C227">
        <v>4</v>
      </c>
      <c r="D227" t="s">
        <v>283</v>
      </c>
      <c r="E227" t="s">
        <v>284</v>
      </c>
      <c r="F227" t="s">
        <v>285</v>
      </c>
      <c r="G227" t="s">
        <v>388</v>
      </c>
      <c r="H227" t="s">
        <v>27</v>
      </c>
      <c r="I227" t="s">
        <v>33</v>
      </c>
      <c r="J227" t="str">
        <f>H227&amp;"-"&amp;I227</f>
        <v>Coffee-QuickExtract</v>
      </c>
      <c r="K227" t="s">
        <v>29</v>
      </c>
      <c r="L227" t="s">
        <v>30</v>
      </c>
      <c r="M227" t="s">
        <v>31</v>
      </c>
      <c r="N227" t="s">
        <v>210</v>
      </c>
      <c r="O227" s="1">
        <v>3.5000000000000003E-2</v>
      </c>
    </row>
    <row r="228" spans="1:15" x14ac:dyDescent="0.55000000000000004">
      <c r="A228" t="s">
        <v>390</v>
      </c>
      <c r="B228">
        <v>31</v>
      </c>
      <c r="C228">
        <v>4</v>
      </c>
      <c r="D228" t="s">
        <v>283</v>
      </c>
      <c r="E228" t="s">
        <v>284</v>
      </c>
      <c r="F228" t="s">
        <v>285</v>
      </c>
      <c r="G228" t="s">
        <v>391</v>
      </c>
      <c r="H228" t="s">
        <v>27</v>
      </c>
      <c r="I228" t="s">
        <v>20</v>
      </c>
      <c r="J228" t="str">
        <f>H228&amp;"-"&amp;I228</f>
        <v>Coffee-Column</v>
      </c>
      <c r="K228" t="s">
        <v>22</v>
      </c>
      <c r="L228" t="s">
        <v>23</v>
      </c>
      <c r="M228" t="s">
        <v>24</v>
      </c>
      <c r="N228" t="s">
        <v>212</v>
      </c>
      <c r="O228" s="1">
        <v>1.53</v>
      </c>
    </row>
    <row r="229" spans="1:15" x14ac:dyDescent="0.55000000000000004">
      <c r="A229" t="s">
        <v>392</v>
      </c>
      <c r="B229">
        <v>32</v>
      </c>
      <c r="C229">
        <v>4</v>
      </c>
      <c r="D229" t="s">
        <v>283</v>
      </c>
      <c r="E229" t="s">
        <v>284</v>
      </c>
      <c r="F229" t="s">
        <v>285</v>
      </c>
      <c r="G229" t="s">
        <v>391</v>
      </c>
      <c r="H229" t="s">
        <v>27</v>
      </c>
      <c r="I229" t="s">
        <v>33</v>
      </c>
      <c r="J229" t="str">
        <f>H229&amp;"-"&amp;I229</f>
        <v>Coffee-QuickExtract</v>
      </c>
      <c r="K229" t="s">
        <v>22</v>
      </c>
      <c r="L229" t="s">
        <v>23</v>
      </c>
      <c r="M229" t="s">
        <v>24</v>
      </c>
      <c r="N229" t="s">
        <v>214</v>
      </c>
      <c r="O229" s="1">
        <v>0.41699999999999998</v>
      </c>
    </row>
    <row r="230" spans="1:15" x14ac:dyDescent="0.55000000000000004">
      <c r="A230" t="s">
        <v>393</v>
      </c>
      <c r="B230">
        <v>33</v>
      </c>
      <c r="C230">
        <v>4</v>
      </c>
      <c r="D230" t="s">
        <v>283</v>
      </c>
      <c r="E230" t="s">
        <v>284</v>
      </c>
      <c r="F230" t="s">
        <v>285</v>
      </c>
      <c r="G230" t="s">
        <v>394</v>
      </c>
      <c r="H230" t="s">
        <v>19</v>
      </c>
      <c r="I230" t="s">
        <v>20</v>
      </c>
      <c r="J230" t="str">
        <f>H230&amp;"-"&amp;I230</f>
        <v>Passive-Column</v>
      </c>
      <c r="K230" t="s">
        <v>22</v>
      </c>
      <c r="L230" t="s">
        <v>23</v>
      </c>
      <c r="M230" t="s">
        <v>24</v>
      </c>
      <c r="N230" t="s">
        <v>216</v>
      </c>
      <c r="O230" s="1">
        <v>0.20699999999999999</v>
      </c>
    </row>
    <row r="231" spans="1:15" x14ac:dyDescent="0.55000000000000004">
      <c r="A231" t="s">
        <v>395</v>
      </c>
      <c r="B231">
        <v>34</v>
      </c>
      <c r="C231">
        <v>4</v>
      </c>
      <c r="D231" t="s">
        <v>283</v>
      </c>
      <c r="E231" t="s">
        <v>284</v>
      </c>
      <c r="F231" t="s">
        <v>285</v>
      </c>
      <c r="G231" t="s">
        <v>394</v>
      </c>
      <c r="H231" t="s">
        <v>19</v>
      </c>
      <c r="I231" t="s">
        <v>33</v>
      </c>
      <c r="J231" t="str">
        <f>H231&amp;"-"&amp;I231</f>
        <v>Passive-QuickExtract</v>
      </c>
      <c r="K231" t="s">
        <v>22</v>
      </c>
      <c r="L231" t="s">
        <v>23</v>
      </c>
      <c r="M231" t="s">
        <v>24</v>
      </c>
      <c r="N231" t="s">
        <v>218</v>
      </c>
      <c r="O231" s="1">
        <v>4.0500000000000001E-2</v>
      </c>
    </row>
    <row r="232" spans="1:15" x14ac:dyDescent="0.55000000000000004">
      <c r="A232" t="s">
        <v>396</v>
      </c>
      <c r="B232">
        <v>35</v>
      </c>
      <c r="C232">
        <v>4</v>
      </c>
      <c r="D232" t="s">
        <v>283</v>
      </c>
      <c r="E232" t="s">
        <v>284</v>
      </c>
      <c r="F232" t="s">
        <v>285</v>
      </c>
      <c r="G232" t="s">
        <v>397</v>
      </c>
      <c r="H232" t="s">
        <v>19</v>
      </c>
      <c r="I232" t="s">
        <v>20</v>
      </c>
      <c r="J232" t="str">
        <f>H232&amp;"-"&amp;I232</f>
        <v>Passive-Column</v>
      </c>
      <c r="K232" t="s">
        <v>221</v>
      </c>
      <c r="L232" t="s">
        <v>222</v>
      </c>
      <c r="M232" t="s">
        <v>223</v>
      </c>
      <c r="N232" t="s">
        <v>220</v>
      </c>
      <c r="O232" s="1">
        <v>0.33500000000000002</v>
      </c>
    </row>
    <row r="233" spans="1:15" x14ac:dyDescent="0.55000000000000004">
      <c r="A233" t="s">
        <v>398</v>
      </c>
      <c r="B233">
        <v>36</v>
      </c>
      <c r="C233">
        <v>4</v>
      </c>
      <c r="D233" t="s">
        <v>283</v>
      </c>
      <c r="E233" t="s">
        <v>284</v>
      </c>
      <c r="F233" t="s">
        <v>285</v>
      </c>
      <c r="G233" t="s">
        <v>397</v>
      </c>
      <c r="H233" t="s">
        <v>19</v>
      </c>
      <c r="I233" t="s">
        <v>33</v>
      </c>
      <c r="J233" t="str">
        <f>H233&amp;"-"&amp;I233</f>
        <v>Passive-QuickExtract</v>
      </c>
      <c r="K233" t="s">
        <v>221</v>
      </c>
      <c r="L233" t="s">
        <v>222</v>
      </c>
      <c r="M233" t="s">
        <v>223</v>
      </c>
      <c r="N233" t="s">
        <v>225</v>
      </c>
      <c r="O233" s="1">
        <v>1E-3</v>
      </c>
    </row>
    <row r="234" spans="1:15" x14ac:dyDescent="0.55000000000000004">
      <c r="A234" t="s">
        <v>399</v>
      </c>
      <c r="B234">
        <v>37</v>
      </c>
      <c r="C234">
        <v>4</v>
      </c>
      <c r="D234" t="s">
        <v>283</v>
      </c>
      <c r="E234" t="s">
        <v>284</v>
      </c>
      <c r="F234" t="s">
        <v>285</v>
      </c>
      <c r="G234" t="s">
        <v>400</v>
      </c>
      <c r="H234" t="s">
        <v>149</v>
      </c>
      <c r="I234" t="s">
        <v>20</v>
      </c>
      <c r="J234" t="str">
        <f>H234&amp;"-"&amp;I234</f>
        <v>Torpedo-Column</v>
      </c>
      <c r="K234" t="s">
        <v>221</v>
      </c>
      <c r="L234" t="s">
        <v>222</v>
      </c>
      <c r="M234" t="s">
        <v>223</v>
      </c>
      <c r="N234" t="s">
        <v>227</v>
      </c>
      <c r="O234" s="1">
        <v>0.308</v>
      </c>
    </row>
    <row r="235" spans="1:15" x14ac:dyDescent="0.55000000000000004">
      <c r="A235" t="s">
        <v>401</v>
      </c>
      <c r="B235">
        <v>38</v>
      </c>
      <c r="C235">
        <v>4</v>
      </c>
      <c r="D235" t="s">
        <v>283</v>
      </c>
      <c r="E235" t="s">
        <v>284</v>
      </c>
      <c r="F235" t="s">
        <v>285</v>
      </c>
      <c r="G235" t="s">
        <v>400</v>
      </c>
      <c r="H235" t="s">
        <v>149</v>
      </c>
      <c r="I235" t="s">
        <v>33</v>
      </c>
      <c r="J235" t="str">
        <f>H235&amp;"-"&amp;I235</f>
        <v>Torpedo-QuickExtract</v>
      </c>
      <c r="K235" t="s">
        <v>221</v>
      </c>
      <c r="L235" t="s">
        <v>222</v>
      </c>
      <c r="M235" t="s">
        <v>223</v>
      </c>
      <c r="N235" t="s">
        <v>229</v>
      </c>
      <c r="O235" s="1">
        <v>5.3999999999999999E-2</v>
      </c>
    </row>
    <row r="236" spans="1:15" x14ac:dyDescent="0.55000000000000004">
      <c r="A236" t="s">
        <v>402</v>
      </c>
      <c r="B236">
        <v>39</v>
      </c>
      <c r="C236">
        <v>4</v>
      </c>
      <c r="D236" t="s">
        <v>283</v>
      </c>
      <c r="E236" t="s">
        <v>284</v>
      </c>
      <c r="F236" t="s">
        <v>285</v>
      </c>
      <c r="G236" t="s">
        <v>403</v>
      </c>
      <c r="H236" t="s">
        <v>19</v>
      </c>
      <c r="I236" t="s">
        <v>20</v>
      </c>
      <c r="J236" t="str">
        <f>H236&amp;"-"&amp;I236</f>
        <v>Passive-Column</v>
      </c>
      <c r="K236" t="s">
        <v>29</v>
      </c>
      <c r="L236" t="s">
        <v>30</v>
      </c>
      <c r="M236" t="s">
        <v>31</v>
      </c>
      <c r="N236" t="s">
        <v>231</v>
      </c>
      <c r="O236" s="1">
        <v>0.90500000000000003</v>
      </c>
    </row>
    <row r="237" spans="1:15" x14ac:dyDescent="0.55000000000000004">
      <c r="A237" t="s">
        <v>404</v>
      </c>
      <c r="B237">
        <v>40</v>
      </c>
      <c r="C237">
        <v>4</v>
      </c>
      <c r="D237" t="s">
        <v>283</v>
      </c>
      <c r="E237" t="s">
        <v>284</v>
      </c>
      <c r="F237" t="s">
        <v>285</v>
      </c>
      <c r="G237" t="s">
        <v>57</v>
      </c>
      <c r="H237" t="s">
        <v>27</v>
      </c>
      <c r="I237" t="s">
        <v>20</v>
      </c>
      <c r="J237" t="str">
        <f>H237&amp;"-"&amp;I237</f>
        <v>Coffee-Column</v>
      </c>
      <c r="K237" t="s">
        <v>22</v>
      </c>
      <c r="L237" t="s">
        <v>23</v>
      </c>
      <c r="M237" t="s">
        <v>24</v>
      </c>
      <c r="N237" t="s">
        <v>233</v>
      </c>
      <c r="O237" s="1">
        <v>0.25</v>
      </c>
    </row>
    <row r="238" spans="1:15" x14ac:dyDescent="0.55000000000000004">
      <c r="A238" t="s">
        <v>405</v>
      </c>
      <c r="B238">
        <v>41</v>
      </c>
      <c r="C238">
        <v>4</v>
      </c>
      <c r="D238" t="s">
        <v>283</v>
      </c>
      <c r="E238" t="s">
        <v>284</v>
      </c>
      <c r="F238" t="s">
        <v>285</v>
      </c>
      <c r="G238" t="s">
        <v>406</v>
      </c>
      <c r="H238" t="s">
        <v>19</v>
      </c>
      <c r="I238" t="s">
        <v>20</v>
      </c>
      <c r="J238" t="str">
        <f>H238&amp;"-"&amp;I238</f>
        <v>Passive-Column</v>
      </c>
      <c r="K238" t="s">
        <v>29</v>
      </c>
      <c r="L238" t="s">
        <v>30</v>
      </c>
      <c r="M238" t="s">
        <v>31</v>
      </c>
      <c r="N238" t="s">
        <v>235</v>
      </c>
      <c r="O238" s="1">
        <v>0.13100000000000001</v>
      </c>
    </row>
    <row r="239" spans="1:15" x14ac:dyDescent="0.55000000000000004">
      <c r="A239" t="s">
        <v>407</v>
      </c>
      <c r="B239">
        <v>42</v>
      </c>
      <c r="C239">
        <v>4</v>
      </c>
      <c r="D239" t="s">
        <v>283</v>
      </c>
      <c r="E239" t="s">
        <v>284</v>
      </c>
      <c r="F239" t="s">
        <v>285</v>
      </c>
      <c r="G239" t="s">
        <v>408</v>
      </c>
      <c r="H239" t="s">
        <v>19</v>
      </c>
      <c r="I239" t="s">
        <v>20</v>
      </c>
      <c r="J239" t="str">
        <f>H239&amp;"-"&amp;I239</f>
        <v>Passive-Column</v>
      </c>
      <c r="K239" t="s">
        <v>22</v>
      </c>
      <c r="L239" t="s">
        <v>23</v>
      </c>
      <c r="M239" t="s">
        <v>24</v>
      </c>
      <c r="N239" t="s">
        <v>237</v>
      </c>
      <c r="O239" s="1">
        <v>5.1499999999999997E-2</v>
      </c>
    </row>
    <row r="240" spans="1:15" x14ac:dyDescent="0.55000000000000004">
      <c r="A240" t="s">
        <v>409</v>
      </c>
      <c r="B240">
        <v>43</v>
      </c>
      <c r="C240">
        <v>4</v>
      </c>
      <c r="D240" t="s">
        <v>283</v>
      </c>
      <c r="E240" t="s">
        <v>284</v>
      </c>
      <c r="F240" t="s">
        <v>285</v>
      </c>
      <c r="G240" t="s">
        <v>410</v>
      </c>
      <c r="H240" t="s">
        <v>19</v>
      </c>
      <c r="I240" t="s">
        <v>20</v>
      </c>
      <c r="J240" t="str">
        <f>H240&amp;"-"&amp;I240</f>
        <v>Passive-Column</v>
      </c>
      <c r="K240" t="s">
        <v>29</v>
      </c>
      <c r="L240" t="s">
        <v>30</v>
      </c>
      <c r="M240" t="s">
        <v>31</v>
      </c>
      <c r="N240" t="s">
        <v>239</v>
      </c>
      <c r="O240" s="1">
        <v>0.20200000000000001</v>
      </c>
    </row>
    <row r="241" spans="1:15" x14ac:dyDescent="0.55000000000000004">
      <c r="A241" t="s">
        <v>411</v>
      </c>
      <c r="B241">
        <v>44</v>
      </c>
      <c r="C241">
        <v>4</v>
      </c>
      <c r="D241" t="s">
        <v>283</v>
      </c>
      <c r="E241" t="s">
        <v>284</v>
      </c>
      <c r="F241" t="s">
        <v>285</v>
      </c>
      <c r="G241" t="s">
        <v>77</v>
      </c>
      <c r="H241" t="s">
        <v>19</v>
      </c>
      <c r="I241" t="s">
        <v>20</v>
      </c>
      <c r="J241" t="str">
        <f>H241&amp;"-"&amp;I241</f>
        <v>Passive-Column</v>
      </c>
      <c r="K241" t="s">
        <v>22</v>
      </c>
      <c r="L241" t="s">
        <v>23</v>
      </c>
      <c r="M241" t="s">
        <v>24</v>
      </c>
      <c r="N241" t="s">
        <v>241</v>
      </c>
      <c r="O241" s="1">
        <v>1E-3</v>
      </c>
    </row>
    <row r="242" spans="1:15" x14ac:dyDescent="0.55000000000000004">
      <c r="A242" t="s">
        <v>412</v>
      </c>
      <c r="B242">
        <v>45</v>
      </c>
      <c r="C242">
        <v>4</v>
      </c>
      <c r="D242" t="s">
        <v>283</v>
      </c>
      <c r="E242" t="s">
        <v>284</v>
      </c>
      <c r="F242" t="s">
        <v>285</v>
      </c>
      <c r="G242" t="s">
        <v>400</v>
      </c>
      <c r="H242" t="s">
        <v>149</v>
      </c>
      <c r="I242" t="s">
        <v>20</v>
      </c>
      <c r="J242" t="str">
        <f>H242&amp;"-"&amp;I242</f>
        <v>Torpedo-Column</v>
      </c>
      <c r="K242" t="s">
        <v>221</v>
      </c>
      <c r="L242" t="s">
        <v>222</v>
      </c>
      <c r="M242" t="s">
        <v>223</v>
      </c>
      <c r="N242" t="s">
        <v>243</v>
      </c>
      <c r="O242" s="1">
        <v>4.0500000000000001E-2</v>
      </c>
    </row>
    <row r="243" spans="1:15" x14ac:dyDescent="0.55000000000000004">
      <c r="A243" t="s">
        <v>413</v>
      </c>
      <c r="B243">
        <v>46</v>
      </c>
      <c r="C243">
        <v>4</v>
      </c>
      <c r="D243" t="s">
        <v>283</v>
      </c>
      <c r="E243" t="s">
        <v>284</v>
      </c>
      <c r="F243" t="s">
        <v>285</v>
      </c>
      <c r="G243" t="s">
        <v>397</v>
      </c>
      <c r="H243" t="s">
        <v>19</v>
      </c>
      <c r="I243" t="s">
        <v>20</v>
      </c>
      <c r="J243" t="str">
        <f>H243&amp;"-"&amp;I243</f>
        <v>Passive-Column</v>
      </c>
      <c r="K243" t="s">
        <v>221</v>
      </c>
      <c r="L243" t="s">
        <v>222</v>
      </c>
      <c r="M243" t="s">
        <v>223</v>
      </c>
      <c r="N243" t="s">
        <v>245</v>
      </c>
      <c r="O243" s="1">
        <v>1E-3</v>
      </c>
    </row>
    <row r="244" spans="1:15" x14ac:dyDescent="0.55000000000000004">
      <c r="A244" t="s">
        <v>414</v>
      </c>
      <c r="B244">
        <v>47</v>
      </c>
      <c r="C244">
        <v>4</v>
      </c>
      <c r="D244" t="s">
        <v>283</v>
      </c>
      <c r="E244" t="s">
        <v>284</v>
      </c>
      <c r="F244" t="s">
        <v>285</v>
      </c>
      <c r="G244" t="s">
        <v>415</v>
      </c>
      <c r="H244" t="s">
        <v>27</v>
      </c>
      <c r="I244" t="s">
        <v>33</v>
      </c>
      <c r="J244" t="str">
        <f>H244&amp;"-"&amp;I244</f>
        <v>Coffee-QuickExtract</v>
      </c>
      <c r="K244" t="s">
        <v>22</v>
      </c>
      <c r="L244" t="s">
        <v>23</v>
      </c>
      <c r="M244" t="s">
        <v>24</v>
      </c>
      <c r="N244" t="s">
        <v>247</v>
      </c>
      <c r="O244" s="1">
        <v>0.42399999999999999</v>
      </c>
    </row>
    <row r="245" spans="1:15" x14ac:dyDescent="0.55000000000000004">
      <c r="A245" t="s">
        <v>416</v>
      </c>
      <c r="B245">
        <v>48</v>
      </c>
      <c r="C245">
        <v>4</v>
      </c>
      <c r="D245" t="s">
        <v>283</v>
      </c>
      <c r="E245" t="s">
        <v>284</v>
      </c>
      <c r="F245" t="s">
        <v>285</v>
      </c>
      <c r="G245" t="s">
        <v>54</v>
      </c>
      <c r="H245" t="s">
        <v>27</v>
      </c>
      <c r="I245" t="s">
        <v>33</v>
      </c>
      <c r="J245" t="str">
        <f>H245&amp;"-"&amp;I245</f>
        <v>Coffee-QuickExtract</v>
      </c>
      <c r="K245" t="s">
        <v>22</v>
      </c>
      <c r="L245" t="s">
        <v>23</v>
      </c>
      <c r="M245" t="s">
        <v>24</v>
      </c>
      <c r="N245" t="s">
        <v>249</v>
      </c>
      <c r="O245" s="1">
        <v>0.52</v>
      </c>
    </row>
    <row r="246" spans="1:15" x14ac:dyDescent="0.55000000000000004">
      <c r="A246" t="s">
        <v>417</v>
      </c>
      <c r="B246">
        <v>49</v>
      </c>
      <c r="C246">
        <v>4</v>
      </c>
      <c r="D246" t="s">
        <v>283</v>
      </c>
      <c r="E246" t="s">
        <v>284</v>
      </c>
      <c r="F246" t="s">
        <v>285</v>
      </c>
      <c r="G246" t="s">
        <v>74</v>
      </c>
      <c r="H246" t="s">
        <v>19</v>
      </c>
      <c r="I246" t="s">
        <v>33</v>
      </c>
      <c r="J246" t="str">
        <f>H246&amp;"-"&amp;I246</f>
        <v>Passive-QuickExtract</v>
      </c>
      <c r="K246" t="s">
        <v>22</v>
      </c>
      <c r="L246" t="s">
        <v>23</v>
      </c>
      <c r="M246" t="s">
        <v>24</v>
      </c>
      <c r="N246" t="s">
        <v>251</v>
      </c>
      <c r="O246" s="1">
        <v>6.3E-2</v>
      </c>
    </row>
    <row r="247" spans="1:15" x14ac:dyDescent="0.55000000000000004">
      <c r="A247" t="s">
        <v>418</v>
      </c>
      <c r="B247">
        <v>50</v>
      </c>
      <c r="C247">
        <v>4</v>
      </c>
      <c r="D247" t="s">
        <v>283</v>
      </c>
      <c r="E247" t="s">
        <v>284</v>
      </c>
      <c r="F247" t="s">
        <v>285</v>
      </c>
      <c r="G247" t="s">
        <v>408</v>
      </c>
      <c r="H247" t="s">
        <v>19</v>
      </c>
      <c r="I247" t="s">
        <v>33</v>
      </c>
      <c r="J247" t="str">
        <f>H247&amp;"-"&amp;I247</f>
        <v>Passive-QuickExtract</v>
      </c>
      <c r="K247" t="s">
        <v>22</v>
      </c>
      <c r="L247" t="s">
        <v>23</v>
      </c>
      <c r="M247" t="s">
        <v>24</v>
      </c>
      <c r="N247" t="s">
        <v>253</v>
      </c>
      <c r="O247" s="1">
        <v>0.16600000000000001</v>
      </c>
    </row>
    <row r="248" spans="1:15" x14ac:dyDescent="0.55000000000000004">
      <c r="A248" t="s">
        <v>419</v>
      </c>
      <c r="B248">
        <v>51</v>
      </c>
      <c r="C248">
        <v>4</v>
      </c>
      <c r="D248" t="s">
        <v>283</v>
      </c>
      <c r="E248" t="s">
        <v>284</v>
      </c>
      <c r="F248" t="s">
        <v>285</v>
      </c>
      <c r="G248" t="s">
        <v>406</v>
      </c>
      <c r="H248" t="s">
        <v>19</v>
      </c>
      <c r="I248" t="s">
        <v>33</v>
      </c>
      <c r="J248" t="str">
        <f>H248&amp;"-"&amp;I248</f>
        <v>Passive-QuickExtract</v>
      </c>
      <c r="K248" t="s">
        <v>29</v>
      </c>
      <c r="L248" t="s">
        <v>30</v>
      </c>
      <c r="M248" t="s">
        <v>31</v>
      </c>
      <c r="N248" t="s">
        <v>255</v>
      </c>
      <c r="O248" s="1">
        <v>1E-3</v>
      </c>
    </row>
    <row r="249" spans="1:15" x14ac:dyDescent="0.55000000000000004">
      <c r="A249" t="s">
        <v>420</v>
      </c>
      <c r="B249">
        <v>52</v>
      </c>
      <c r="C249">
        <v>4</v>
      </c>
      <c r="D249" t="s">
        <v>283</v>
      </c>
      <c r="E249" t="s">
        <v>284</v>
      </c>
      <c r="F249" t="s">
        <v>285</v>
      </c>
      <c r="G249" t="s">
        <v>403</v>
      </c>
      <c r="H249" t="s">
        <v>19</v>
      </c>
      <c r="I249" t="s">
        <v>33</v>
      </c>
      <c r="J249" t="str">
        <f>H249&amp;"-"&amp;I249</f>
        <v>Passive-QuickExtract</v>
      </c>
      <c r="K249" t="s">
        <v>29</v>
      </c>
      <c r="L249" t="s">
        <v>30</v>
      </c>
      <c r="M249" t="s">
        <v>31</v>
      </c>
      <c r="N249" t="s">
        <v>257</v>
      </c>
      <c r="O249" s="1">
        <v>0.16700000000000001</v>
      </c>
    </row>
    <row r="250" spans="1:15" x14ac:dyDescent="0.55000000000000004">
      <c r="A250" t="s">
        <v>421</v>
      </c>
      <c r="B250">
        <v>53</v>
      </c>
      <c r="C250">
        <v>4</v>
      </c>
      <c r="D250" t="s">
        <v>283</v>
      </c>
      <c r="E250" t="s">
        <v>284</v>
      </c>
      <c r="F250" t="s">
        <v>285</v>
      </c>
      <c r="G250" t="s">
        <v>410</v>
      </c>
      <c r="H250" t="s">
        <v>19</v>
      </c>
      <c r="I250" t="s">
        <v>33</v>
      </c>
      <c r="J250" t="str">
        <f>H250&amp;"-"&amp;I250</f>
        <v>Passive-QuickExtract</v>
      </c>
      <c r="K250" t="s">
        <v>29</v>
      </c>
      <c r="L250" t="s">
        <v>30</v>
      </c>
      <c r="M250" t="s">
        <v>31</v>
      </c>
      <c r="N250" t="s">
        <v>259</v>
      </c>
      <c r="O250" s="1">
        <v>1.1200000000000001</v>
      </c>
    </row>
    <row r="251" spans="1:15" x14ac:dyDescent="0.55000000000000004">
      <c r="A251" t="s">
        <v>422</v>
      </c>
      <c r="B251">
        <v>54</v>
      </c>
      <c r="C251">
        <v>4</v>
      </c>
      <c r="D251" t="s">
        <v>283</v>
      </c>
      <c r="E251" t="s">
        <v>284</v>
      </c>
      <c r="F251" t="s">
        <v>285</v>
      </c>
      <c r="G251" t="s">
        <v>415</v>
      </c>
      <c r="H251" t="s">
        <v>27</v>
      </c>
      <c r="I251" t="s">
        <v>20</v>
      </c>
      <c r="J251" t="str">
        <f>H251&amp;"-"&amp;I251</f>
        <v>Coffee-Column</v>
      </c>
      <c r="K251" t="s">
        <v>22</v>
      </c>
      <c r="L251" t="s">
        <v>23</v>
      </c>
      <c r="M251" t="s">
        <v>24</v>
      </c>
      <c r="N251" t="s">
        <v>261</v>
      </c>
      <c r="O251" s="1">
        <v>4.5499999999999999E-2</v>
      </c>
    </row>
    <row r="252" spans="1:15" x14ac:dyDescent="0.55000000000000004">
      <c r="A252" t="s">
        <v>432</v>
      </c>
      <c r="B252">
        <v>65</v>
      </c>
      <c r="C252">
        <v>4</v>
      </c>
      <c r="D252" t="s">
        <v>283</v>
      </c>
      <c r="E252" t="s">
        <v>284</v>
      </c>
      <c r="F252" t="s">
        <v>285</v>
      </c>
      <c r="G252" t="s">
        <v>267</v>
      </c>
      <c r="H252" t="s">
        <v>47</v>
      </c>
      <c r="I252" t="s">
        <v>47</v>
      </c>
      <c r="J252" t="str">
        <f>H252&amp;"-"&amp;I252</f>
        <v>Sylphium-Sylphium</v>
      </c>
      <c r="K252" t="s">
        <v>22</v>
      </c>
      <c r="L252" t="s">
        <v>23</v>
      </c>
      <c r="M252" t="s">
        <v>24</v>
      </c>
      <c r="N252" t="s">
        <v>267</v>
      </c>
      <c r="O252" s="1">
        <v>0.624</v>
      </c>
    </row>
    <row r="253" spans="1:15" x14ac:dyDescent="0.55000000000000004">
      <c r="A253" t="s">
        <v>433</v>
      </c>
      <c r="B253">
        <v>66</v>
      </c>
      <c r="C253">
        <v>4</v>
      </c>
      <c r="D253" t="s">
        <v>283</v>
      </c>
      <c r="E253" t="s">
        <v>284</v>
      </c>
      <c r="F253" t="s">
        <v>285</v>
      </c>
      <c r="G253" t="s">
        <v>269</v>
      </c>
      <c r="H253" t="s">
        <v>47</v>
      </c>
      <c r="I253" t="s">
        <v>47</v>
      </c>
      <c r="J253" t="str">
        <f>H253&amp;"-"&amp;I253</f>
        <v>Sylphium-Sylphium</v>
      </c>
      <c r="K253" t="s">
        <v>22</v>
      </c>
      <c r="L253" t="s">
        <v>23</v>
      </c>
      <c r="M253" t="s">
        <v>24</v>
      </c>
      <c r="N253" t="s">
        <v>269</v>
      </c>
      <c r="O253" s="1">
        <v>0.754</v>
      </c>
    </row>
    <row r="254" spans="1:15" x14ac:dyDescent="0.55000000000000004">
      <c r="A254" t="s">
        <v>434</v>
      </c>
      <c r="B254">
        <v>67</v>
      </c>
      <c r="C254">
        <v>4</v>
      </c>
      <c r="D254" t="s">
        <v>283</v>
      </c>
      <c r="E254" t="s">
        <v>284</v>
      </c>
      <c r="F254" t="s">
        <v>285</v>
      </c>
      <c r="G254" t="s">
        <v>271</v>
      </c>
      <c r="H254" t="s">
        <v>47</v>
      </c>
      <c r="I254" t="s">
        <v>47</v>
      </c>
      <c r="J254" t="str">
        <f>H254&amp;"-"&amp;I254</f>
        <v>Sylphium-Sylphium</v>
      </c>
      <c r="K254" t="s">
        <v>29</v>
      </c>
      <c r="L254" t="s">
        <v>30</v>
      </c>
      <c r="M254" t="s">
        <v>31</v>
      </c>
      <c r="N254" t="s">
        <v>271</v>
      </c>
      <c r="O254" s="1">
        <v>1.35</v>
      </c>
    </row>
    <row r="255" spans="1:15" x14ac:dyDescent="0.55000000000000004">
      <c r="A255" t="s">
        <v>435</v>
      </c>
      <c r="B255">
        <v>68</v>
      </c>
      <c r="C255">
        <v>4</v>
      </c>
      <c r="D255" t="s">
        <v>283</v>
      </c>
      <c r="E255" t="s">
        <v>284</v>
      </c>
      <c r="F255" t="s">
        <v>285</v>
      </c>
      <c r="G255" t="s">
        <v>273</v>
      </c>
      <c r="H255" t="s">
        <v>47</v>
      </c>
      <c r="I255" t="s">
        <v>47</v>
      </c>
      <c r="J255" t="str">
        <f>H255&amp;"-"&amp;I255</f>
        <v>Sylphium-Sylphium</v>
      </c>
      <c r="K255" t="s">
        <v>22</v>
      </c>
      <c r="L255" t="s">
        <v>23</v>
      </c>
      <c r="M255" t="s">
        <v>24</v>
      </c>
      <c r="N255" t="s">
        <v>273</v>
      </c>
      <c r="O255" s="1">
        <v>0.22800000000000001</v>
      </c>
    </row>
    <row r="256" spans="1:15" x14ac:dyDescent="0.55000000000000004">
      <c r="A256" t="s">
        <v>436</v>
      </c>
      <c r="B256">
        <v>69</v>
      </c>
      <c r="C256">
        <v>4</v>
      </c>
      <c r="D256" t="s">
        <v>283</v>
      </c>
      <c r="E256" t="s">
        <v>284</v>
      </c>
      <c r="F256" t="s">
        <v>285</v>
      </c>
      <c r="G256" t="s">
        <v>275</v>
      </c>
      <c r="H256" t="s">
        <v>47</v>
      </c>
      <c r="I256" t="s">
        <v>47</v>
      </c>
      <c r="J256" t="str">
        <f>H256&amp;"-"&amp;I256</f>
        <v>Sylphium-Sylphium</v>
      </c>
      <c r="K256" t="s">
        <v>29</v>
      </c>
      <c r="L256" t="s">
        <v>30</v>
      </c>
      <c r="M256" t="s">
        <v>31</v>
      </c>
      <c r="N256" t="s">
        <v>275</v>
      </c>
      <c r="O256" s="1">
        <v>1.31</v>
      </c>
    </row>
    <row r="257" spans="1:15" x14ac:dyDescent="0.55000000000000004">
      <c r="A257" t="s">
        <v>437</v>
      </c>
      <c r="B257">
        <v>70</v>
      </c>
      <c r="C257">
        <v>4</v>
      </c>
      <c r="D257" t="s">
        <v>283</v>
      </c>
      <c r="E257" t="s">
        <v>284</v>
      </c>
      <c r="F257" t="s">
        <v>285</v>
      </c>
      <c r="G257" t="s">
        <v>277</v>
      </c>
      <c r="H257" t="s">
        <v>47</v>
      </c>
      <c r="I257" t="s">
        <v>47</v>
      </c>
      <c r="J257" t="str">
        <f>H257&amp;"-"&amp;I257</f>
        <v>Sylphium-Sylphium</v>
      </c>
      <c r="K257" t="s">
        <v>29</v>
      </c>
      <c r="L257" t="s">
        <v>30</v>
      </c>
      <c r="M257" t="s">
        <v>31</v>
      </c>
      <c r="N257" t="s">
        <v>277</v>
      </c>
      <c r="O257" s="1">
        <v>20.8</v>
      </c>
    </row>
  </sheetData>
  <sortState xmlns:xlrd2="http://schemas.microsoft.com/office/spreadsheetml/2017/richdata2" ref="A2:O257">
    <sortCondition ref="A2:A25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Nichols</dc:creator>
  <cp:lastModifiedBy>Patrick Nichols</cp:lastModifiedBy>
  <dcterms:created xsi:type="dcterms:W3CDTF">2026-07-23T13:33:41Z</dcterms:created>
  <dcterms:modified xsi:type="dcterms:W3CDTF">2026-07-24T13:31:15Z</dcterms:modified>
</cp:coreProperties>
</file>